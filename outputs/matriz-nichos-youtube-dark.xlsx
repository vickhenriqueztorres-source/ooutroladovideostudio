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1fca2a683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56c2e5ea034635"/>
    <x:sheet xmlns:r="http://schemas.openxmlformats.org/officeDocument/2006/relationships" name="Matrix" sheetId="2" r:id="R47d7ca855972414c"/>
    <x:sheet xmlns:r="http://schemas.openxmlformats.org/officeDocument/2006/relationships" name="Candidate Catalog" sheetId="3" r:id="R7601ba336362406f"/>
    <x:sheet xmlns:r="http://schemas.openxmlformats.org/officeDocument/2006/relationships" name="Top 10" sheetId="4" r:id="R95ba83bbcea34d9c"/>
    <x:sheet xmlns:r="http://schemas.openxmlformats.org/officeDocument/2006/relationships" name="Formats" sheetId="5" r:id="Rac7981463d9340d8"/>
    <x:sheet xmlns:r="http://schemas.openxmlformats.org/officeDocument/2006/relationships" name="Weights" sheetId="6" r:id="Reec8db58ab434820"/>
    <x:sheet xmlns:r="http://schemas.openxmlformats.org/officeDocument/2006/relationships" name="Sources" sheetId="7" r:id="R9045688e593a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0.00"/>
    <x:numFmt numFmtId="203" formatCode="0"/>
  </x:numFmts>
  <x:fonts count="22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1"/>
      <x:color rgb="FF172033"/>
      <x:name val="Carlito"/>
    </x:font>
    <x:font>
      <x:b/>
      <x:sz val="11"/>
      <x:name val="Carlito"/>
    </x:font>
    <x:font>
      <x:sz val="9"/>
      <x:color rgb="FF172033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b/>
      <x:sz val="14"/>
      <x:color rgb="FF172033"/>
      <x:name val="Carlito"/>
    </x:font>
    <x:font>
      <x:b/>
      <x:sz val="13"/>
      <x:color rgb="FFFFFFFF"/>
      <x:name val="Carlito"/>
    </x:font>
    <x:font>
      <x:b/>
      <x:sz val="11"/>
      <x:color rgb="FF172033"/>
      <x:name val="Carlito"/>
    </x:font>
    <x:font>
      <x:b/>
      <x:sz val="11"/>
      <x:color rgb="FFFFFFFF"/>
      <x:name val="Aptos"/>
    </x:font>
    <x:font>
      <x:b/>
      <x:sz val="14"/>
      <x:color rgb="FF172033"/>
      <x:name val="Aptos"/>
    </x:font>
    <x:font>
      <x:b/>
      <x:sz val="13"/>
      <x:color rgb="FFFFFFFF"/>
      <x:name val="Aptos"/>
    </x:font>
    <x:font>
      <x:b/>
      <x:sz val="11"/>
      <x:color rgb="FF172033"/>
      <x:name val="Aptos"/>
    </x:font>
    <x:font>
      <x:sz val="11"/>
      <x:color rgb="FF172033"/>
      <x:name val="Aptos"/>
    </x:font>
    <x:font>
      <x:b/>
      <x:sz val="11"/>
      <x:name val="Aptos"/>
    </x:font>
    <x:font>
      <x:sz val="9"/>
      <x:color rgb="FF172033"/>
      <x:name val="Aptos"/>
    </x:font>
    <x:font>
      <x:sz val="10"/>
      <x:color rgb="FF172033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E7F4F1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F2C14E"/>
      </x:patternFill>
    </x:fill>
    <x:fill>
      <x:patternFill patternType="solid">
        <x:fgColor rgb="FFFFF8E1"/>
      </x:patternFill>
    </x:fill>
  </x:fills>
  <x:borders count="9">
    <x:border/>
    <x:border>
      <x:bottom style="medium">
        <x:color rgb="FFB8C7D9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B8C7D9"/>
      </x:left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201" fontId="6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2" fontId="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3" fontId="7" fillId="6" borderId="0" xfId="0" applyNumberFormat="1" applyFont="1" applyFill="1" applyBorder="1"/>
    <x:xf numFmtId="203" fontId="7" fillId="6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1" fontId="6" fillId="4" borderId="2" xfId="0" applyNumberFormat="1" applyFont="1" applyFill="1" applyBorder="1" applyAlignment="1">
      <x:alignment horizontal="center"/>
    </x:xf>
    <x:xf numFmtId="202" fontId="0" fillId="5" borderId="2" xfId="0" applyNumberFormat="1" applyFont="1" applyFill="1" applyBorder="1" applyAlignment="1">
      <x:alignment horizontal="center"/>
    </x:xf>
    <x:xf numFmtId="203" fontId="7" fillId="6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1" fontId="6" fillId="4" borderId="3" xfId="0" applyNumberFormat="1" applyFont="1" applyFill="1" applyBorder="1" applyAlignment="1">
      <x:alignment horizontal="center"/>
    </x:xf>
    <x:xf numFmtId="202" fontId="0" fillId="5" borderId="3" xfId="0" applyNumberFormat="1" applyFont="1" applyFill="1" applyBorder="1" applyAlignment="1">
      <x:alignment horizontal="center"/>
    </x:xf>
    <x:xf numFmtId="203" fontId="7" fillId="6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1" fontId="6" fillId="4" borderId="4" xfId="0" applyNumberFormat="1" applyFont="1" applyFill="1" applyBorder="1" applyAlignment="1">
      <x:alignment horizontal="center"/>
    </x:xf>
    <x:xf numFmtId="202" fontId="0" fillId="5" borderId="4" xfId="0" applyNumberFormat="1" applyFont="1" applyFill="1" applyBorder="1" applyAlignment="1">
      <x:alignment horizontal="center"/>
    </x:xf>
    <x:xf numFmtId="203" fontId="7" fillId="6" borderId="4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201" fontId="8" fillId="0" borderId="2" xfId="0" applyNumberFormat="1" applyFont="1" applyFill="1" applyBorder="1" applyAlignment="1">
      <x:alignment vertical="top" wrapText="1"/>
    </x:xf>
    <x:xf numFmtId="201" fontId="8" fillId="0" borderId="3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202" fontId="8" fillId="0" borderId="2" xfId="0" applyNumberFormat="1" applyFont="1" applyFill="1" applyBorder="1" applyAlignment="1">
      <x:alignment vertical="top" wrapText="1"/>
    </x:xf>
    <x:xf numFmtId="202" fontId="8" fillId="0" borderId="3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5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5" xfId="0" applyNumberFormat="1" applyFont="1" applyFill="1" applyBorder="1" applyAlignment="1">
      <x:alignment wrapText="1"/>
    </x:xf>
    <x:xf numFmtId="0" fontId="11" fillId="6" borderId="6" xfId="0" applyNumberFormat="1" applyFont="1" applyFill="1" applyBorder="1" applyAlignment="1">
      <x:alignment wrapText="1"/>
    </x:xf>
    <x:xf numFmtId="0" fontId="11" fillId="6" borderId="7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wrapText="1"/>
    </x:xf>
    <x:xf numFmtId="0" fontId="11" fillId="6" borderId="5" xfId="0" applyNumberFormat="1" applyFont="1" applyFill="1" applyBorder="1" applyAlignment="1">
      <x:alignment horizontal="center" wrapText="1"/>
    </x:xf>
    <x:xf numFmtId="0" fontId="11" fillId="6" borderId="6" xfId="0" applyNumberFormat="1" applyFont="1" applyFill="1" applyBorder="1" applyAlignment="1">
      <x:alignment horizontal="center" wrapText="1"/>
    </x:xf>
    <x:xf numFmtId="0" fontId="11" fillId="6" borderId="7" xfId="0" applyNumberFormat="1" applyFont="1" applyFill="1" applyBorder="1" applyAlignment="1">
      <x:alignment horizontal="center" wrapText="1"/>
    </x:xf>
    <x:xf numFmtId="0" fontId="11" fillId="6" borderId="8" xfId="0" applyNumberFormat="1" applyFont="1" applyFill="1" applyBorder="1" applyAlignment="1">
      <x:alignment horizont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202" fontId="11" fillId="6" borderId="5" xfId="0" applyNumberFormat="1" applyFont="1" applyFill="1" applyBorder="1" applyAlignment="1">
      <x:alignment horizontal="center" vertical="center" wrapText="1"/>
    </x:xf>
    <x:xf numFmtId="202" fontId="11" fillId="6" borderId="6" xfId="0" applyNumberFormat="1" applyFont="1" applyFill="1" applyBorder="1" applyAlignment="1">
      <x:alignment horizontal="center" vertical="center" wrapText="1"/>
    </x:xf>
    <x:xf numFmtId="202" fontId="11" fillId="6" borderId="7" xfId="0" applyNumberFormat="1" applyFont="1" applyFill="1" applyBorder="1" applyAlignment="1">
      <x:alignment horizontal="center" vertical="center" wrapText="1"/>
    </x:xf>
    <x:xf numFmtId="202" fontId="11" fillId="6" borderId="8" xfId="0" applyNumberFormat="1" applyFont="1" applyFill="1" applyBorder="1" applyAlignment="1">
      <x:alignment horizontal="center" vertical="center" wrapText="1"/>
    </x:xf>
    <x:xf numFmtId="201" fontId="11" fillId="6" borderId="5" xfId="0" applyNumberFormat="1" applyFont="1" applyFill="1" applyBorder="1" applyAlignment="1">
      <x:alignment horizontal="center" vertical="center" wrapText="1"/>
    </x:xf>
    <x:xf numFmtId="201" fontId="11" fillId="6" borderId="6" xfId="0" applyNumberFormat="1" applyFont="1" applyFill="1" applyBorder="1" applyAlignment="1">
      <x:alignment horizontal="center" vertical="center" wrapText="1"/>
    </x:xf>
    <x:xf numFmtId="201" fontId="11" fillId="6" borderId="7" xfId="0" applyNumberFormat="1" applyFont="1" applyFill="1" applyBorder="1" applyAlignment="1">
      <x:alignment horizontal="center" vertical="center" wrapText="1"/>
    </x:xf>
    <x:xf numFmtId="201" fontId="11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202" fontId="0" fillId="9" borderId="2" xfId="0" applyNumberFormat="1" applyFont="1" applyFill="1" applyBorder="1"/>
    <x:xf numFmtId="202" fontId="0" fillId="9" borderId="3" xfId="0" applyNumberFormat="1" applyFont="1" applyFill="1" applyBorder="1"/>
    <x:xf numFmtId="202" fontId="0" fillId="9" borderId="4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4" fillId="3" borderId="0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 wrapText="1"/>
    </x:xf>
    <x:xf numFmtId="0" fontId="15" fillId="6" borderId="6" xfId="0" applyNumberFormat="1" applyFont="1" applyFill="1" applyBorder="1" applyAlignment="1">
      <x:alignment horizontal="center" vertical="center" wrapText="1"/>
    </x:xf>
    <x:xf numFmtId="202" fontId="15" fillId="6" borderId="5" xfId="0" applyNumberFormat="1" applyFont="1" applyFill="1" applyBorder="1" applyAlignment="1">
      <x:alignment horizontal="center" vertical="center" wrapText="1"/>
    </x:xf>
    <x:xf numFmtId="202" fontId="15" fillId="6" borderId="6" xfId="0" applyNumberFormat="1" applyFont="1" applyFill="1" applyBorder="1" applyAlignment="1">
      <x:alignment horizontal="center" vertical="center" wrapText="1"/>
    </x:xf>
    <x:xf numFmtId="201" fontId="15" fillId="6" borderId="5" xfId="0" applyNumberFormat="1" applyFont="1" applyFill="1" applyBorder="1" applyAlignment="1">
      <x:alignment horizontal="center" vertical="center" wrapText="1"/>
    </x:xf>
    <x:xf numFmtId="201" fontId="15" fillId="6" borderId="6" xfId="0" applyNumberFormat="1" applyFont="1" applyFill="1" applyBorder="1" applyAlignment="1">
      <x:alignment horizontal="center" vertical="center" wrapText="1"/>
    </x:xf>
    <x:xf numFmtId="0" fontId="15" fillId="6" borderId="7" xfId="0" applyNumberFormat="1" applyFont="1" applyFill="1" applyBorder="1" applyAlignment="1">
      <x:alignment horizontal="center" vertical="center" wrapText="1"/>
    </x:xf>
    <x:xf numFmtId="0" fontId="15" fillId="6" borderId="8" xfId="0" applyNumberFormat="1" applyFont="1" applyFill="1" applyBorder="1" applyAlignment="1">
      <x:alignment horizontal="center" vertical="center" wrapText="1"/>
    </x:xf>
    <x:xf numFmtId="202" fontId="15" fillId="6" borderId="7" xfId="0" applyNumberFormat="1" applyFont="1" applyFill="1" applyBorder="1" applyAlignment="1">
      <x:alignment horizontal="center" vertical="center" wrapText="1"/>
    </x:xf>
    <x:xf numFmtId="202" fontId="15" fillId="6" borderId="8" xfId="0" applyNumberFormat="1" applyFont="1" applyFill="1" applyBorder="1" applyAlignment="1">
      <x:alignment horizontal="center" vertical="center" wrapText="1"/>
    </x:xf>
    <x:xf numFmtId="201" fontId="15" fillId="6" borderId="7" xfId="0" applyNumberFormat="1" applyFont="1" applyFill="1" applyBorder="1" applyAlignment="1">
      <x:alignment horizontal="center" vertical="center" wrapText="1"/>
    </x:xf>
    <x:xf numFmtId="201" fontId="15" fillId="6" borderId="8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/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/>
    <x:xf numFmtId="202" fontId="4" fillId="9" borderId="2" xfId="0" applyNumberFormat="1" applyFont="1" applyFill="1" applyBorder="1"/>
    <x:xf numFmtId="0" fontId="4" fillId="9" borderId="3" xfId="0" applyNumberFormat="1" applyFont="1" applyFill="1" applyBorder="1"/>
    <x:xf numFmtId="202" fontId="4" fillId="9" borderId="3" xfId="0" applyNumberFormat="1" applyFont="1" applyFill="1" applyBorder="1"/>
    <x:xf numFmtId="0" fontId="4" fillId="9" borderId="4" xfId="0" applyNumberFormat="1" applyFont="1" applyFill="1" applyBorder="1"/>
    <x:xf numFmtId="202" fontId="4" fillId="9" borderId="4" xfId="0" applyNumberFormat="1" applyFont="1" applyFill="1" applyBorder="1"/>
    <x:xf numFmtId="0" fontId="17" fillId="10" borderId="0" xfId="0" applyNumberFormat="1" applyFont="1" applyFill="1" applyBorder="1"/>
    <x:xf numFmtId="0" fontId="18" fillId="11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201" fontId="18" fillId="4" borderId="2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3" fontId="19" fillId="6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/>
    <x:xf numFmtId="201" fontId="18" fillId="4" borderId="3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3" fontId="19" fillId="6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201" fontId="18" fillId="4" borderId="4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3" fontId="19" fillId="6" borderId="4" xfId="0" applyNumberFormat="1" applyFont="1" applyFill="1" applyBorder="1" applyAlignment="1">
      <x:alignment horizontal="center"/>
    </x:xf>
    <x:xf numFmtId="0" fontId="20" fillId="0" borderId="2" xfId="0" applyNumberFormat="1" applyFont="1" applyFill="1" applyBorder="1" applyAlignment="1">
      <x:alignment vertical="top" wrapText="1"/>
    </x:xf>
    <x:xf numFmtId="201" fontId="20" fillId="0" borderId="2" xfId="0" applyNumberFormat="1" applyFont="1" applyFill="1" applyBorder="1" applyAlignment="1">
      <x:alignment vertical="top" wrapText="1"/>
    </x:xf>
    <x:xf numFmtId="202" fontId="20" fillId="0" borderId="2" xfId="0" applyNumberFormat="1" applyFont="1" applyFill="1" applyBorder="1" applyAlignment="1">
      <x:alignment vertical="top" wrapText="1"/>
    </x:xf>
    <x:xf numFmtId="0" fontId="20" fillId="0" borderId="3" xfId="0" applyNumberFormat="1" applyFont="1" applyFill="1" applyBorder="1" applyAlignment="1">
      <x:alignment vertical="top" wrapText="1"/>
    </x:xf>
    <x:xf numFmtId="201" fontId="20" fillId="0" borderId="3" xfId="0" applyNumberFormat="1" applyFont="1" applyFill="1" applyBorder="1" applyAlignment="1">
      <x:alignment vertical="top" wrapText="1"/>
    </x:xf>
    <x:xf numFmtId="202" fontId="20" fillId="0" borderId="3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201" fontId="20" fillId="0" borderId="4" xfId="0" applyNumberFormat="1" applyFont="1" applyFill="1" applyBorder="1" applyAlignment="1">
      <x:alignment vertical="top" wrapText="1"/>
    </x:xf>
    <x:xf numFmtId="202" fontId="20" fillId="0" borderId="4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 wrapText="1"/>
    </x:xf>
    <x:xf numFmtId="0" fontId="21" fillId="0" borderId="3" xfId="0" applyNumberFormat="1" applyFont="1" applyFill="1" applyBorder="1" applyAlignment="1">
      <x:alignment vertical="top" wrapText="1"/>
    </x:xf>
    <x:xf numFmtId="0" fontId="2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acd1a19b7440d" /><Relationship Type="http://schemas.openxmlformats.org/officeDocument/2006/relationships/theme" Target="/xl/theme/theme1.xml" Id="R18bee4e244754c6e" /><Relationship Type="http://schemas.openxmlformats.org/officeDocument/2006/relationships/sharedStrings" Target="/xl/sharedStrings.xml" Id="R106172fe30f0474c" /><Relationship Type="http://schemas.openxmlformats.org/officeDocument/2006/relationships/worksheet" Target="/xl/worksheets/sheet1.xml" Id="R4056c2e5ea034635" /><Relationship Type="http://schemas.openxmlformats.org/officeDocument/2006/relationships/worksheet" Target="/xl/worksheets/sheet2.xml" Id="R47d7ca855972414c" /><Relationship Type="http://schemas.openxmlformats.org/officeDocument/2006/relationships/worksheet" Target="/xl/worksheets/sheet3.xml" Id="R7601ba336362406f" /><Relationship Type="http://schemas.openxmlformats.org/officeDocument/2006/relationships/worksheet" Target="/xl/worksheets/sheet4.xml" Id="R95ba83bbcea34d9c" /><Relationship Type="http://schemas.openxmlformats.org/officeDocument/2006/relationships/worksheet" Target="/xl/worksheets/sheet5.xml" Id="Rac7981463d9340d8" /><Relationship Type="http://schemas.openxmlformats.org/officeDocument/2006/relationships/worksheet" Target="/xl/worksheets/sheet6.xml" Id="Reec8db58ab434820" /><Relationship Type="http://schemas.openxmlformats.org/officeDocument/2006/relationships/worksheet" Target="/xl/worksheets/sheet7.xml" Id="R9045688e593a4d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0de133df6648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strategic fit (0–10)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Weighted score</c:v>
          </c:tx>
          <c:cat>
            <c:strRef>
              <c:f>'Dashboard'!$B$15:$B$24</c:f>
              <c:strCache>
                <c:ptCount val="0"/>
              </c:strCache>
            </c:strRef>
          </c:cat>
          <c:val>
            <c:numRef>
              <c:f>'Dashboard'!$C$15:$C$24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0de133df6648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icheMatrix" displayName="NicheMatrix" ref="A1:AB37" headerRowCount="1" totalsRowCount="0" totalsRowShown="0">
  <x:tableColumns count="28">
    <x:tableColumn id="1" name="ID"/>
    <x:tableColumn id="2" name="Category"/>
    <x:tableColumn id="3" name="Niche"/>
    <x:tableColumn id="4" name="Demand"/>
    <x:tableColumn id="5" name="Long-form"/>
    <x:tableColumn id="6" name="Retention"/>
    <x:tableColumn id="7" name="Series"/>
    <x:tableColumn id="8" name="Visual ease"/>
    <x:tableColumn id="9" name="Motion"/>
    <x:tableColumn id="10" name="Generative video"/>
    <x:tableColumn id="11" name="Automation"/>
    <x:tableColumn id="12" name="Differentiation"/>
    <x:tableColumn id="13" name="Search"/>
    <x:tableColumn id="14" name="Recommendation"/>
    <x:tableColumn id="15" name="Sponsorship"/>
    <x:tableColumn id="16" name="Affiliate"/>
    <x:tableColumn id="17" name="Commercial audience"/>
    <x:tableColumn id="18" name="Monetization safety"/>
    <x:tableColumn id="19" name="Low copyright risk"/>
    <x:tableColumn id="20" name="Low misinformation risk"/>
    <x:tableColumn id="21" name="Low third-party dependence"/>
    <x:tableColumn id="22" name="100-video capacity"/>
    <x:tableColumn id="23" name="Maintain quality"/>
    <x:tableColumn id="24" name="Operational scalability"/>
    <x:tableColumn id="25" name="Automation compatibility"/>
    <x:tableColumn id="26" name="Commercial potential"/>
    <x:tableColumn id="27" name="Weighted score"/>
    <x:tableColumn id="28" name="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Catalog" displayName="CandidateCatalog" ref="A1:AE37" headerRowCount="1" totalsRowCount="0" totalsRowShown="0">
  <x:tableColumns count="31">
    <x:tableColumn id="1" name="ID"/>
    <x:tableColumn id="2" name="Category"/>
    <x:tableColumn id="3" name="Niche"/>
    <x:tableColumn id="4" name="Target audience"/>
    <x:tableColumn id="5" name="Audience problem/desire"/>
    <x:tableColumn id="6" name="Example topics (English)"/>
    <x:tableColumn id="7" name="Best format"/>
    <x:tableColumn id="8" name="Recommended duration"/>
    <x:tableColumn id="9" name="Possible frequency"/>
    <x:tableColumn id="10" name="Motion design fit"/>
    <x:tableColumn id="11" name="Generative video fit"/>
    <x:tableColumn id="12" name="Need for real footage"/>
    <x:tableColumn id="13" name="Automation potential"/>
    <x:tableColumn id="14" name="Competition"/>
    <x:tableColumn id="15" name="Retention potential"/>
    <x:tableColumn id="16" name="Monetization potential"/>
    <x:tableColumn id="17" name="Sponsor potential"/>
    <x:tableColumn id="18" name="Affiliate potential"/>
    <x:tableColumn id="19" name="Copyright risk"/>
    <x:tableColumn id="20" name="Policy risk"/>
    <x:tableColumn id="21" name="Misinformation risk"/>
    <x:tableColumn id="22" name="Operational difficulty"/>
    <x:tableColumn id="23" name="Estimated active human hours"/>
    <x:tableColumn id="24" name="Scalability 0–10"/>
    <x:tableColumn id="25" name="Differentiation 0–10"/>
    <x:tableColumn id="26" name="Monetization safety 0–10"/>
    <x:tableColumn id="27" name="Editorial angle"/>
    <x:tableColumn id="28" name="Authority mechanism"/>
    <x:tableColumn id="29" name="Primary risk"/>
    <x:tableColumn id="30" name="Score"/>
    <x:tableColumn id="31" name="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atsTable" displayName="FormatsTable" ref="A1:G21" headerRowCount="1" totalsRowCount="0" totalsRowShown="0">
  <x:tableColumns count="7">
    <x:tableColumn id="1" name="Format"/>
    <x:tableColumn id="2" name="Unit"/>
    <x:tableColumn id="3" name="Narrative structure"/>
    <x:tableColumn id="4" name="Duration"/>
    <x:tableColumn id="5" name="Best niches"/>
    <x:tableColumn id="6" name="Visual kit"/>
    <x:tableColumn id="7" name="Guardr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E22" headerRowCount="1" totalsRowCount="0" totalsRowShown="0">
  <x:tableColumns count="5">
    <x:tableColumn id="1" name="Source"/>
    <x:tableColumn id="2" name="Publisher / type"/>
    <x:tableColumn id="3" name="Date / access"/>
    <x:tableColumn id="4" name="Use in analysis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cb34285f3147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f38dcbe1c9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2aa45b97fd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edc83efe59348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430353df68a4d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120" t="str">
        <x:v>YouTube Dark Long-Form — Strategic Niche Portfolio</x:v>
      </x:c>
      <x:c r="B1" s="120"/>
      <x:c r="C1" s="120"/>
      <x:c r="D1" s="120"/>
      <x:c r="E1" s="120"/>
      <x:c r="F1" s="120"/>
      <x:c r="G1" s="120"/>
      <x:c r="H1" s="120"/>
    </x:row>
    <x:row r="2" ht="28" customHeight="1">
      <x:c r="A2" s="120"/>
      <x:c r="B2" s="120"/>
      <x:c r="C2" s="120"/>
      <x:c r="D2" s="120"/>
      <x:c r="E2" s="120"/>
      <x:c r="F2" s="120"/>
      <x:c r="G2" s="120"/>
      <x:c r="H2" s="120"/>
    </x:row>
    <x:row r="3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 t="str">
        <x:v>Candidates scored</x:v>
      </x:c>
      <x:c r="B4" s="122"/>
      <x:c r="C4" s="122" t="str">
        <x:v>Top weighted score</x:v>
      </x:c>
      <x:c r="D4" s="122"/>
      <x:c r="E4" s="122" t="str">
        <x:v>Safest niche score</x:v>
      </x:c>
      <x:c r="F4" s="122"/>
      <x:c r="G4" s="122" t="str">
        <x:v>Method</x:v>
      </x:c>
      <x:c r="H4" s="122"/>
    </x:row>
    <x:row r="5">
      <x:c r="A5" s="123" t="n">
        <x:f>COUNTA('Matrix'!C2:C37)</x:f>
        <x:v>36</x:v>
      </x:c>
      <x:c r="B5" s="124"/>
      <x:c r="C5" s="125" t="n">
        <x:f>MAX('Matrix'!AA2:AA37)</x:f>
        <x:v>9.242500000000001</x:v>
      </x:c>
      <x:c r="D5" s="126"/>
      <x:c r="E5" s="127" t="n">
        <x:f>MAX('Matrix'!R2:R37)</x:f>
        <x:v>10</x:v>
      </x:c>
      <x:c r="F5" s="128"/>
      <x:c r="G5" s="123" t="str">
        <x:v>Expert estimates + formula-driven ranking</x:v>
      </x:c>
      <x:c r="H5" s="124"/>
    </x:row>
    <x:row r="6">
      <x:c r="A6" s="129"/>
      <x:c r="B6" s="130"/>
      <x:c r="C6" s="131"/>
      <x:c r="D6" s="132"/>
      <x:c r="E6" s="133"/>
      <x:c r="F6" s="134"/>
      <x:c r="G6" s="129"/>
      <x:c r="H6" s="130"/>
    </x:row>
    <x:row r="7">
      <x:c r="A7" s="121"/>
      <x:c r="B7" s="121"/>
      <x:c r="C7" s="121"/>
      <x:c r="D7" s="121"/>
      <x:c r="E7" s="121"/>
      <x:c r="F7" s="121"/>
      <x:c r="G7" s="121"/>
      <x:c r="H7" s="121"/>
    </x:row>
    <x:row r="8">
      <x:c r="A8" s="135" t="str">
        <x:v>Recommended 3-channel portfolio</x:v>
      </x:c>
      <x:c r="B8" s="135"/>
      <x:c r="C8" s="135"/>
      <x:c r="D8" s="135"/>
      <x:c r="E8" s="135"/>
      <x:c r="F8" s="135"/>
      <x:c r="G8" s="135"/>
      <x:c r="H8" s="135"/>
    </x:row>
    <x:row r="9">
      <x:c r="A9" s="16" t="str">
        <x:v>Order</x:v>
      </x:c>
      <x:c r="B9" s="16" t="str">
        <x:v>Working title</x:v>
      </x:c>
      <x:c r="C9" s="16" t="str">
        <x:v>Central niche</x:v>
      </x:c>
      <x:c r="D9" s="16" t="str">
        <x:v>Promise</x:v>
      </x:c>
      <x:c r="E9" s="16" t="str">
        <x:v>Pillars</x:v>
      </x:c>
      <x:c r="F9" s="16" t="str">
        <x:v>Duration</x:v>
      </x:c>
      <x:c r="G9" s="16" t="str">
        <x:v>Cadence</x:v>
      </x:c>
      <x:c r="H9" s="16" t="str">
        <x:v>Why</x:v>
      </x:c>
    </x:row>
    <x:row r="10">
      <x:c r="A10" s="136" t="str">
        <x:v>1</x:v>
      </x:c>
      <x:c r="B10" s="136" t="str">
        <x:v>Hidden Systems Lab</x:v>
      </x:c>
      <x:c r="C10" s="136" t="str">
        <x:v>Invisible infrastructure systems</x:v>
      </x:c>
      <x:c r="D10" s="136" t="str">
        <x:v>Systems that keep modern life running</x:v>
      </x:c>
      <x:c r="E10" s="136" t="str">
        <x:v>Infrastructure, logistics, cities, energy, water</x:v>
      </x:c>
      <x:c r="F10" s="136" t="str">
        <x:v>14–24 min</x:v>
      </x:c>
      <x:c r="G10" s="136" t="str">
        <x:v>1 video/week after pilot</x:v>
      </x:c>
      <x:c r="H10" s="136" t="str">
        <x:v>Safest mix of evergreen demand, visual originality and 100-video depth</x:v>
      </x:c>
    </x:row>
    <x:row r="11">
      <x:c r="A11" s="137" t="str">
        <x:v>2</x:v>
      </x:c>
      <x:c r="B11" s="137" t="str">
        <x:v>Business Mechanics</x:v>
      </x:c>
      <x:c r="C11" s="137" t="str">
        <x:v>Business models and competitive strategy</x:v>
      </x:c>
      <x:c r="D11" s="137" t="str">
        <x:v>How companies create, capture and lose value</x:v>
      </x:c>
      <x:c r="E11" s="137" t="str">
        <x:v>Company systems, industry economics, failed products</x:v>
      </x:c>
      <x:c r="F11" s="137" t="str">
        <x:v>18–30 min</x:v>
      </x:c>
      <x:c r="G11" s="137" t="str">
        <x:v>3 videos/month after pilot</x:v>
      </x:c>
      <x:c r="H11" s="137" t="str">
        <x:v>Highest commercial value with strong long-form behavior</x:v>
      </x:c>
    </x:row>
    <x:row r="12">
      <x:c r="A12" s="138" t="str">
        <x:v>3</x:v>
      </x:c>
      <x:c r="B12" s="138" t="str">
        <x:v>Compute Frontier</x:v>
      </x:c>
      <x:c r="C12" s="138" t="str">
        <x:v>Semiconductors and compute infrastructure</x:v>
      </x:c>
      <x:c r="D12" s="138" t="str">
        <x:v>The physical and economic stack behind AI and the internet</x:v>
      </x:c>
      <x:c r="E12" s="138" t="str">
        <x:v>Chips, cloud, data centers, AI constraints</x:v>
      </x:c>
      <x:c r="F12" s="138" t="str">
        <x:v>14–24 min</x:v>
      </x:c>
      <x:c r="G12" s="138" t="str">
        <x:v>3 videos/month after pilot</x:v>
      </x:c>
      <x:c r="H12" s="138" t="str">
        <x:v>Captures AI demand without becoming a disposable AI-news channel</x:v>
      </x:c>
    </x:row>
    <x:row r="13">
      <x:c r="A13" s="121"/>
      <x:c r="B13" s="121"/>
      <x:c r="C13" s="121"/>
      <x:c r="D13" s="121"/>
      <x:c r="E13" s="121"/>
      <x:c r="F13" s="121"/>
      <x:c r="G13" s="121"/>
      <x:c r="H13" s="121"/>
    </x:row>
    <x:row r="14">
      <x:c r="A14" s="16" t="str">
        <x:v>Rank</x:v>
      </x:c>
      <x:c r="B14" s="16" t="str">
        <x:v>Niche</x:v>
      </x:c>
      <x:c r="C14" s="16" t="str">
        <x:v>Weighted score</x:v>
      </x:c>
      <x:c r="D14" s="121"/>
      <x:c r="E14" s="121"/>
      <x:c r="F14" s="121"/>
      <x:c r="G14" s="121"/>
      <x:c r="H14" s="121"/>
    </x:row>
    <x:row r="15">
      <x:c r="A15" s="139" t="n">
        <x:v>1</x:v>
      </x:c>
      <x:c r="B15" s="139" t="str">
        <x:f>'Matrix'!C12</x:f>
        <x:v>AI systems, economics and real-world constraints</x:v>
      </x:c>
      <x:c r="C15" s="140" t="n">
        <x:f>'Matrix'!AA12</x:f>
        <x:v>9.242500000000001</x:v>
      </x:c>
      <x:c r="D15" s="121"/>
      <x:c r="E15" s="121"/>
      <x:c r="F15" s="121"/>
      <x:c r="G15" s="121"/>
      <x:c r="H15" s="121"/>
    </x:row>
    <x:row r="16">
      <x:c r="A16" s="141" t="n">
        <x:v>2</x:v>
      </x:c>
      <x:c r="B16" s="141" t="str">
        <x:f>'Matrix'!C11</x:f>
        <x:v>Semiconductors and compute infrastructure</x:v>
      </x:c>
      <x:c r="C16" s="142" t="n">
        <x:f>'Matrix'!AA11</x:f>
        <x:v>9.172500000000001</x:v>
      </x:c>
      <x:c r="D16" s="121"/>
      <x:c r="E16" s="121"/>
      <x:c r="F16" s="121"/>
      <x:c r="G16" s="121"/>
      <x:c r="H16" s="121"/>
    </x:row>
    <x:row r="17">
      <x:c r="A17" s="141" t="n">
        <x:v>3</x:v>
      </x:c>
      <x:c r="B17" s="141" t="str">
        <x:f>'Matrix'!C7</x:f>
        <x:v>Business models and competitive strategy</x:v>
      </x:c>
      <x:c r="C17" s="142" t="n">
        <x:f>'Matrix'!AA7</x:f>
        <x:v>9.161666666666669</x:v>
      </x:c>
      <x:c r="D17" s="121"/>
      <x:c r="E17" s="121"/>
      <x:c r="F17" s="121"/>
      <x:c r="G17" s="121"/>
      <x:c r="H17" s="121"/>
    </x:row>
    <x:row r="18">
      <x:c r="A18" s="141" t="n">
        <x:v>4</x:v>
      </x:c>
      <x:c r="B18" s="141" t="str">
        <x:f>'Matrix'!C13</x:f>
        <x:v>Internet architecture and cloud systems</x:v>
      </x:c>
      <x:c r="C18" s="142" t="n">
        <x:f>'Matrix'!AA13</x:f>
        <x:v>9.138333333333332</x:v>
      </x:c>
      <x:c r="D18" s="121"/>
      <x:c r="E18" s="121"/>
      <x:c r="F18" s="121"/>
      <x:c r="G18" s="121"/>
      <x:c r="H18" s="121"/>
    </x:row>
    <x:row r="19">
      <x:c r="A19" s="141" t="n">
        <x:v>5</x:v>
      </x:c>
      <x:c r="B19" s="141" t="str">
        <x:f>'Matrix'!C21</x:f>
        <x:v>Materials science in everyday life</x:v>
      </x:c>
      <x:c r="C19" s="142" t="n">
        <x:f>'Matrix'!AA21</x:f>
        <x:v>9.11</x:v>
      </x:c>
      <x:c r="D19" s="121"/>
      <x:c r="E19" s="121"/>
      <x:c r="F19" s="121"/>
      <x:c r="G19" s="121"/>
      <x:c r="H19" s="121"/>
    </x:row>
    <x:row r="20">
      <x:c r="A20" s="141" t="n">
        <x:v>6</x:v>
      </x:c>
      <x:c r="B20" s="141" t="str">
        <x:f>'Matrix'!C16</x:f>
        <x:v>History through systems and logistics</x:v>
      </x:c>
      <x:c r="C20" s="142" t="n">
        <x:f>'Matrix'!AA16</x:f>
        <x:v>9.087500000000002</x:v>
      </x:c>
      <x:c r="D20" s="121"/>
      <x:c r="E20" s="121"/>
      <x:c r="F20" s="121"/>
      <x:c r="G20" s="121"/>
      <x:c r="H20" s="121"/>
    </x:row>
    <x:row r="21">
      <x:c r="A21" s="141" t="n">
        <x:v>7</x:v>
      </x:c>
      <x:c r="B21" s="141" t="str">
        <x:f>'Matrix'!C2</x:f>
        <x:v>Invisible infrastructure systems</x:v>
      </x:c>
      <x:c r="C21" s="142" t="n">
        <x:f>'Matrix'!AA2</x:f>
        <x:v>9.076666666666668</x:v>
      </x:c>
      <x:c r="D21" s="121"/>
      <x:c r="E21" s="121"/>
      <x:c r="F21" s="121"/>
      <x:c r="G21" s="121"/>
      <x:c r="H21" s="121"/>
    </x:row>
    <x:row r="22">
      <x:c r="A22" s="141" t="n">
        <x:v>8</x:v>
      </x:c>
      <x:c r="B22" s="141" t="str">
        <x:f>'Matrix'!C28</x:f>
        <x:v>Economics of everyday industries</x:v>
      </x:c>
      <x:c r="C22" s="142" t="n">
        <x:f>'Matrix'!AA28</x:f>
        <x:v>9.076666666666668</x:v>
      </x:c>
      <x:c r="D22" s="121"/>
      <x:c r="E22" s="121"/>
      <x:c r="F22" s="121"/>
      <x:c r="G22" s="121"/>
      <x:c r="H22" s="121"/>
    </x:row>
    <x:row r="23">
      <x:c r="A23" s="141" t="n">
        <x:v>9</x:v>
      </x:c>
      <x:c r="B23" s="141" t="str">
        <x:f>'Matrix'!C36</x:f>
        <x:v>Scientific mysteries solved with evidence</x:v>
      </x:c>
      <x:c r="C23" s="142" t="n">
        <x:f>'Matrix'!AA36</x:f>
        <x:v>9.045</x:v>
      </x:c>
      <x:c r="D23" s="121"/>
      <x:c r="E23" s="121"/>
      <x:c r="F23" s="121"/>
      <x:c r="G23" s="121"/>
      <x:c r="H23" s="121"/>
    </x:row>
    <x:row r="24">
      <x:c r="A24" s="143" t="n">
        <x:v>10</x:v>
      </x:c>
      <x:c r="B24" s="143" t="str">
        <x:f>'Matrix'!C6</x:f>
        <x:v>Supply chains and industrial logistics</x:v>
      </x:c>
      <x:c r="C24" s="144" t="n">
        <x:f>'Matrix'!AA6</x:f>
        <x:v>9.0425</x:v>
      </x:c>
      <x:c r="D24" s="121"/>
      <x:c r="E24" s="121"/>
      <x:c r="F24" s="121"/>
      <x:c r="G24" s="121"/>
      <x:c r="H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</x:row>
    <x:row r="27">
      <x:c r="A27" s="145" t="str">
        <x:v>Interpretation note</x:v>
      </x:c>
      <x:c r="B27" s="145"/>
      <x:c r="C27" s="145"/>
      <x:c r="D27" s="145"/>
      <x:c r="E27" s="145"/>
      <x:c r="F27" s="145"/>
      <x:c r="G27" s="145"/>
      <x:c r="H27" s="145"/>
    </x:row>
    <x:row r="28">
      <x:c r="A28" s="146" t="str">
        <x:v>Scores are strategic estimates, not observed RPM/CPM or performance forecasts. CPM/RPM varies by country, season, audience, duration, ad inventory and traffic source. Full assumptions are visible in Weights and Matrix.</x:v>
      </x:c>
      <x:c r="B28" s="146"/>
      <x:c r="C28" s="146"/>
      <x:c r="D28" s="146"/>
      <x:c r="E28" s="146"/>
      <x:c r="F28" s="146"/>
      <x:c r="G28" s="146"/>
      <x:c r="H28" s="146"/>
    </x:row>
    <x:row r="29">
      <x:c r="A29" s="146"/>
      <x:c r="B29" s="146"/>
      <x:c r="C29" s="146"/>
      <x:c r="D29" s="146"/>
      <x:c r="E29" s="146"/>
      <x:c r="F29" s="146"/>
      <x:c r="G29" s="146"/>
      <x:c r="H29" s="146"/>
    </x:row>
    <x:row r="30">
      <x:c r="A30" s="146"/>
      <x:c r="B30" s="146"/>
      <x:c r="C30" s="146"/>
      <x:c r="D30" s="146"/>
      <x:c r="E30" s="146"/>
      <x:c r="F30" s="146"/>
      <x:c r="G30" s="146"/>
      <x:c r="H30" s="146"/>
    </x:row>
  </x:sheetData>
  <x:mergeCells>
    <x:mergeCell ref="A1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27:H27"/>
    <x:mergeCell ref="A28:H30"/>
  </x:mergeCells>
  <x:pageMargins left="0.7" right="0.7" top="0.75" bottom="0.75" header="0.3" footer="0.3"/>
  <x:drawing xmlns:r="http://schemas.openxmlformats.org/officeDocument/2006/relationships" r:id="Rf7cb34285f3147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 ht="42" customHeight="1">
      <x:c r="A1" s="16" t="str">
        <x:v>ID</x:v>
      </x:c>
      <x:c r="B1" s="16" t="str">
        <x:v>Category</x:v>
      </x:c>
      <x:c r="C1" s="16" t="str">
        <x:v>Niche</x:v>
      </x:c>
      <x:c r="D1" s="16" t="str">
        <x:v>Demand</x:v>
      </x:c>
      <x:c r="E1" s="16" t="str">
        <x:v>Long-form</x:v>
      </x:c>
      <x:c r="F1" s="16" t="str">
        <x:v>Retention</x:v>
      </x:c>
      <x:c r="G1" s="16" t="str">
        <x:v>Series</x:v>
      </x:c>
      <x:c r="H1" s="16" t="str">
        <x:v>Visual ease</x:v>
      </x:c>
      <x:c r="I1" s="16" t="str">
        <x:v>Motion</x:v>
      </x:c>
      <x:c r="J1" s="16" t="str">
        <x:v>Generative video</x:v>
      </x:c>
      <x:c r="K1" s="16" t="str">
        <x:v>Automation</x:v>
      </x:c>
      <x:c r="L1" s="16" t="str">
        <x:v>Differentiation</x:v>
      </x:c>
      <x:c r="M1" s="16" t="str">
        <x:v>Search</x:v>
      </x:c>
      <x:c r="N1" s="16" t="str">
        <x:v>Recommendation</x:v>
      </x:c>
      <x:c r="O1" s="16" t="str">
        <x:v>Sponsorship</x:v>
      </x:c>
      <x:c r="P1" s="16" t="str">
        <x:v>Affiliate</x:v>
      </x:c>
      <x:c r="Q1" s="16" t="str">
        <x:v>Commercial audience</x:v>
      </x:c>
      <x:c r="R1" s="16" t="str">
        <x:v>Monetization safety</x:v>
      </x:c>
      <x:c r="S1" s="16" t="str">
        <x:v>Low copyright risk</x:v>
      </x:c>
      <x:c r="T1" s="16" t="str">
        <x:v>Low misinformation risk</x:v>
      </x:c>
      <x:c r="U1" s="16" t="str">
        <x:v>Low third-party dependence</x:v>
      </x:c>
      <x:c r="V1" s="16" t="str">
        <x:v>100-video capacity</x:v>
      </x:c>
      <x:c r="W1" s="16" t="str">
        <x:v>Maintain quality</x:v>
      </x:c>
      <x:c r="X1" s="16" t="str">
        <x:v>Operational scalability</x:v>
      </x:c>
      <x:c r="Y1" s="16" t="str">
        <x:v>Automation compatibility</x:v>
      </x:c>
      <x:c r="Z1" s="16" t="str">
        <x:v>Commercial potential</x:v>
      </x:c>
      <x:c r="AA1" s="16" t="str">
        <x:v>Weighted score</x:v>
      </x:c>
      <x:c r="AB1" s="16" t="str">
        <x:v>Rank</x:v>
      </x:c>
    </x:row>
    <x:row r="2">
      <x:c r="A2" s="147" t="n">
        <x:v>1</x:v>
      </x:c>
      <x:c r="B2" s="147" t="str">
        <x:v>Infraestrutura e megaprojetos</x:v>
      </x:c>
      <x:c r="C2" s="147" t="str">
        <x:v>Invisible infrastructure systems</x:v>
      </x:c>
      <x:c r="D2" s="148" t="n">
        <x:v>9</x:v>
      </x:c>
      <x:c r="E2" s="148" t="n">
        <x:v>9.5</x:v>
      </x:c>
      <x:c r="F2" s="148" t="n">
        <x:v>8.5</x:v>
      </x:c>
      <x:c r="G2" s="148" t="n">
        <x:v>10</x:v>
      </x:c>
      <x:c r="H2" s="148" t="n">
        <x:v>8.5</x:v>
      </x:c>
      <x:c r="I2" s="148" t="n">
        <x:v>10</x:v>
      </x:c>
      <x:c r="J2" s="148" t="n">
        <x:v>8</x:v>
      </x:c>
      <x:c r="K2" s="148" t="n">
        <x:v>8.5</x:v>
      </x:c>
      <x:c r="L2" s="148" t="n">
        <x:v>9.5</x:v>
      </x:c>
      <x:c r="M2" s="148" t="n">
        <x:v>8.5</x:v>
      </x:c>
      <x:c r="N2" s="148" t="n">
        <x:v>9</x:v>
      </x:c>
      <x:c r="O2" s="148" t="n">
        <x:v>8.5</x:v>
      </x:c>
      <x:c r="P2" s="148" t="n">
        <x:v>5.5</x:v>
      </x:c>
      <x:c r="Q2" s="148" t="n">
        <x:v>8.5</x:v>
      </x:c>
      <x:c r="R2" s="148" t="n">
        <x:v>9.5</x:v>
      </x:c>
      <x:c r="S2" s="148" t="n">
        <x:v>9</x:v>
      </x:c>
      <x:c r="T2" s="148" t="n">
        <x:v>9</x:v>
      </x:c>
      <x:c r="U2" s="148" t="n">
        <x:v>9.5</x:v>
      </x:c>
      <x:c r="V2" s="148" t="n">
        <x:v>10</x:v>
      </x:c>
      <x:c r="W2" s="148" t="n">
        <x:v>9</x:v>
      </x:c>
      <x:c r="X2" s="149" t="n">
        <x:f>AVERAGE(H2,K2,V2,W2)</x:f>
        <x:v>9</x:v>
      </x:c>
      <x:c r="Y2" s="149" t="n">
        <x:f>AVERAGE(I2,J2,K2)</x:f>
        <x:v>8.833333333333334</x:v>
      </x:c>
      <x:c r="Z2" s="149" t="n">
        <x:f>AVERAGE(O2,P2,Q2)</x:f>
        <x:v>7.5</x:v>
      </x:c>
      <x:c r="AA2" s="149" t="n">
        <x:f>R2*'Weights'!$B$4+L2*'Weights'!$B$5+E2*'Weights'!$B$6+F2*'Weights'!$B$7+D2*'Weights'!$B$8+X2*'Weights'!$B$9+Y2*'Weights'!$B$10+Z2*'Weights'!$B$11+S2*'Weights'!$B$12+G2*'Weights'!$B$13</x:f>
        <x:v>9.076666666666668</x:v>
      </x:c>
      <x:c r="AB2" s="150" t="n">
        <x:f>RANK.EQ(AA2,$AA$2:$AA$37,0)</x:f>
        <x:v>7</x:v>
      </x:c>
    </x:row>
    <x:row r="3">
      <x:c r="A3" s="151" t="n">
        <x:v>2</x:v>
      </x:c>
      <x:c r="B3" s="151" t="str">
        <x:v>Ciência e engenharia</x:v>
      </x:c>
      <x:c r="C3" s="151" t="str">
        <x:v>Engineering failures and forensic lessons</x:v>
      </x:c>
      <x:c r="D3" s="152" t="n">
        <x:v>8.5</x:v>
      </x:c>
      <x:c r="E3" s="152" t="n">
        <x:v>9.5</x:v>
      </x:c>
      <x:c r="F3" s="152" t="n">
        <x:v>9.5</x:v>
      </x:c>
      <x:c r="G3" s="152" t="n">
        <x:v>9.5</x:v>
      </x:c>
      <x:c r="H3" s="152" t="n">
        <x:v>8</x:v>
      </x:c>
      <x:c r="I3" s="152" t="n">
        <x:v>10</x:v>
      </x:c>
      <x:c r="J3" s="152" t="n">
        <x:v>7</x:v>
      </x:c>
      <x:c r="K3" s="152" t="n">
        <x:v>7.5</x:v>
      </x:c>
      <x:c r="L3" s="152" t="n">
        <x:v>9</x:v>
      </x:c>
      <x:c r="M3" s="152" t="n">
        <x:v>8.5</x:v>
      </x:c>
      <x:c r="N3" s="152" t="n">
        <x:v>9.5</x:v>
      </x:c>
      <x:c r="O3" s="152" t="n">
        <x:v>8</x:v>
      </x:c>
      <x:c r="P3" s="152" t="n">
        <x:v>4</x:v>
      </x:c>
      <x:c r="Q3" s="152" t="n">
        <x:v>8</x:v>
      </x:c>
      <x:c r="R3" s="152" t="n">
        <x:v>7.5</x:v>
      </x:c>
      <x:c r="S3" s="152" t="n">
        <x:v>8</x:v>
      </x:c>
      <x:c r="T3" s="152" t="n">
        <x:v>8</x:v>
      </x:c>
      <x:c r="U3" s="152" t="n">
        <x:v>8</x:v>
      </x:c>
      <x:c r="V3" s="152" t="n">
        <x:v>9.5</x:v>
      </x:c>
      <x:c r="W3" s="152" t="n">
        <x:v>8.5</x:v>
      </x:c>
      <x:c r="X3" s="153" t="n">
        <x:f>AVERAGE(H3,K3,V3,W3)</x:f>
        <x:v>8.375</x:v>
      </x:c>
      <x:c r="Y3" s="153" t="n">
        <x:f>AVERAGE(I3,J3,K3)</x:f>
        <x:v>8.166666666666666</x:v>
      </x:c>
      <x:c r="Z3" s="153" t="n">
        <x:f>AVERAGE(O3,P3,Q3)</x:f>
        <x:v>6.666666666666667</x:v>
      </x:c>
      <x:c r="AA3" s="153" t="n">
        <x:f>R3*'Weights'!$B$4+L3*'Weights'!$B$5+E3*'Weights'!$B$6+F3*'Weights'!$B$7+D3*'Weights'!$B$8+X3*'Weights'!$B$9+Y3*'Weights'!$B$10+Z3*'Weights'!$B$11+S3*'Weights'!$B$12+G3*'Weights'!$B$13</x:f>
        <x:v>8.474166666666665</x:v>
      </x:c>
      <x:c r="AB3" s="154" t="n">
        <x:f>RANK.EQ(AA3,$AA$2:$AA$37,0)</x:f>
        <x:v>31</x:v>
      </x:c>
    </x:row>
    <x:row r="4">
      <x:c r="A4" s="151" t="n">
        <x:v>3</x:v>
      </x:c>
      <x:c r="B4" s="151" t="str">
        <x:v>Infraestrutura e megaprojetos</x:v>
      </x:c>
      <x:c r="C4" s="151" t="str">
        <x:v>Megaprojects under the hood</x:v>
      </x:c>
      <x:c r="D4" s="152" t="n">
        <x:v>9</x:v>
      </x:c>
      <x:c r="E4" s="152" t="n">
        <x:v>9.5</x:v>
      </x:c>
      <x:c r="F4" s="152" t="n">
        <x:v>8.5</x:v>
      </x:c>
      <x:c r="G4" s="152" t="n">
        <x:v>10</x:v>
      </x:c>
      <x:c r="H4" s="152" t="n">
        <x:v>8</x:v>
      </x:c>
      <x:c r="I4" s="152" t="n">
        <x:v>9.5</x:v>
      </x:c>
      <x:c r="J4" s="152" t="n">
        <x:v>9</x:v>
      </x:c>
      <x:c r="K4" s="152" t="n">
        <x:v>8</x:v>
      </x:c>
      <x:c r="L4" s="152" t="n">
        <x:v>8</x:v>
      </x:c>
      <x:c r="M4" s="152" t="n">
        <x:v>9</x:v>
      </x:c>
      <x:c r="N4" s="152" t="n">
        <x:v>9</x:v>
      </x:c>
      <x:c r="O4" s="152" t="n">
        <x:v>9</x:v>
      </x:c>
      <x:c r="P4" s="152" t="n">
        <x:v>4.5</x:v>
      </x:c>
      <x:c r="Q4" s="152" t="n">
        <x:v>8.5</x:v>
      </x:c>
      <x:c r="R4" s="152" t="n">
        <x:v>8.5</x:v>
      </x:c>
      <x:c r="S4" s="152" t="n">
        <x:v>7.5</x:v>
      </x:c>
      <x:c r="T4" s="152" t="n">
        <x:v>8</x:v>
      </x:c>
      <x:c r="U4" s="152" t="n">
        <x:v>7</x:v>
      </x:c>
      <x:c r="V4" s="152" t="n">
        <x:v>10</x:v>
      </x:c>
      <x:c r="W4" s="152" t="n">
        <x:v>8.5</x:v>
      </x:c>
      <x:c r="X4" s="153" t="n">
        <x:f>AVERAGE(H4,K4,V4,W4)</x:f>
        <x:v>8.625</x:v>
      </x:c>
      <x:c r="Y4" s="153" t="n">
        <x:f>AVERAGE(I4,J4,K4)</x:f>
        <x:v>8.833333333333334</x:v>
      </x:c>
      <x:c r="Z4" s="153" t="n">
        <x:f>AVERAGE(O4,P4,Q4)</x:f>
        <x:v>7.333333333333333</x:v>
      </x:c>
      <x:c r="AA4" s="153" t="n">
        <x:f>R4*'Weights'!$B$4+L4*'Weights'!$B$5+E4*'Weights'!$B$6+F4*'Weights'!$B$7+D4*'Weights'!$B$8+X4*'Weights'!$B$9+Y4*'Weights'!$B$10+Z4*'Weights'!$B$11+S4*'Weights'!$B$12+G4*'Weights'!$B$13</x:f>
        <x:v>8.545833333333334</x:v>
      </x:c>
      <x:c r="AB4" s="154" t="n">
        <x:f>RANK.EQ(AA4,$AA$2:$AA$37,0)</x:f>
        <x:v>28</x:v>
      </x:c>
    </x:row>
    <x:row r="5">
      <x:c r="A5" s="151" t="n">
        <x:v>4</x:v>
      </x:c>
      <x:c r="B5" s="151" t="str">
        <x:v>Transporte e cidades</x:v>
      </x:c>
      <x:c r="C5" s="151" t="str">
        <x:v>Urban mobility and city systems</x:v>
      </x:c>
      <x:c r="D5" s="152" t="n">
        <x:v>8.5</x:v>
      </x:c>
      <x:c r="E5" s="152" t="n">
        <x:v>9</x:v>
      </x:c>
      <x:c r="F5" s="152" t="n">
        <x:v>8.5</x:v>
      </x:c>
      <x:c r="G5" s="152" t="n">
        <x:v>10</x:v>
      </x:c>
      <x:c r="H5" s="152" t="n">
        <x:v>9</x:v>
      </x:c>
      <x:c r="I5" s="152" t="n">
        <x:v>10</x:v>
      </x:c>
      <x:c r="J5" s="152" t="n">
        <x:v>8</x:v>
      </x:c>
      <x:c r="K5" s="152" t="n">
        <x:v>8.5</x:v>
      </x:c>
      <x:c r="L5" s="152" t="n">
        <x:v>9</x:v>
      </x:c>
      <x:c r="M5" s="152" t="n">
        <x:v>8.5</x:v>
      </x:c>
      <x:c r="N5" s="152" t="n">
        <x:v>9</x:v>
      </x:c>
      <x:c r="O5" s="152" t="n">
        <x:v>8.5</x:v>
      </x:c>
      <x:c r="P5" s="152" t="n">
        <x:v>6</x:v>
      </x:c>
      <x:c r="Q5" s="152" t="n">
        <x:v>8.5</x:v>
      </x:c>
      <x:c r="R5" s="152" t="n">
        <x:v>9</x:v>
      </x:c>
      <x:c r="S5" s="152" t="n">
        <x:v>9</x:v>
      </x:c>
      <x:c r="T5" s="152" t="n">
        <x:v>8</x:v>
      </x:c>
      <x:c r="U5" s="152" t="n">
        <x:v>9</x:v>
      </x:c>
      <x:c r="V5" s="152" t="n">
        <x:v>10</x:v>
      </x:c>
      <x:c r="W5" s="152" t="n">
        <x:v>9</x:v>
      </x:c>
      <x:c r="X5" s="153" t="n">
        <x:f>AVERAGE(H5,K5,V5,W5)</x:f>
        <x:v>9.125</x:v>
      </x:c>
      <x:c r="Y5" s="153" t="n">
        <x:f>AVERAGE(I5,J5,K5)</x:f>
        <x:v>8.833333333333334</x:v>
      </x:c>
      <x:c r="Z5" s="153" t="n">
        <x:f>AVERAGE(O5,P5,Q5)</x:f>
        <x:v>7.666666666666667</x:v>
      </x:c>
      <x:c r="AA5" s="153" t="n">
        <x:f>R5*'Weights'!$B$4+L5*'Weights'!$B$5+E5*'Weights'!$B$6+F5*'Weights'!$B$7+D5*'Weights'!$B$8+X5*'Weights'!$B$9+Y5*'Weights'!$B$10+Z5*'Weights'!$B$11+S5*'Weights'!$B$12+G5*'Weights'!$B$13</x:f>
        <x:v>8.842500000000001</x:v>
      </x:c>
      <x:c r="AB5" s="154" t="n">
        <x:f>RANK.EQ(AA5,$AA$2:$AA$37,0)</x:f>
        <x:v>21</x:v>
      </x:c>
    </x:row>
    <x:row r="6">
      <x:c r="A6" s="151" t="n">
        <x:v>5</x:v>
      </x:c>
      <x:c r="B6" s="151" t="str">
        <x:v>Transporte e indústria</x:v>
      </x:c>
      <x:c r="C6" s="151" t="str">
        <x:v>Supply chains and industrial logistics</x:v>
      </x:c>
      <x:c r="D6" s="152" t="n">
        <x:v>9</x:v>
      </x:c>
      <x:c r="E6" s="152" t="n">
        <x:v>9.5</x:v>
      </x:c>
      <x:c r="F6" s="152" t="n">
        <x:v>9</x:v>
      </x:c>
      <x:c r="G6" s="152" t="n">
        <x:v>10</x:v>
      </x:c>
      <x:c r="H6" s="152" t="n">
        <x:v>9</x:v>
      </x:c>
      <x:c r="I6" s="152" t="n">
        <x:v>10</x:v>
      </x:c>
      <x:c r="J6" s="152" t="n">
        <x:v>8</x:v>
      </x:c>
      <x:c r="K6" s="152" t="n">
        <x:v>8.5</x:v>
      </x:c>
      <x:c r="L6" s="152" t="n">
        <x:v>9</x:v>
      </x:c>
      <x:c r="M6" s="152" t="n">
        <x:v>9</x:v>
      </x:c>
      <x:c r="N6" s="152" t="n">
        <x:v>9.5</x:v>
      </x:c>
      <x:c r="O6" s="152" t="n">
        <x:v>9.5</x:v>
      </x:c>
      <x:c r="P6" s="152" t="n">
        <x:v>6</x:v>
      </x:c>
      <x:c r="Q6" s="152" t="n">
        <x:v>9</x:v>
      </x:c>
      <x:c r="R6" s="152" t="n">
        <x:v>9</x:v>
      </x:c>
      <x:c r="S6" s="152" t="n">
        <x:v>9</x:v>
      </x:c>
      <x:c r="T6" s="152" t="n">
        <x:v>8</x:v>
      </x:c>
      <x:c r="U6" s="152" t="n">
        <x:v>9</x:v>
      </x:c>
      <x:c r="V6" s="152" t="n">
        <x:v>10</x:v>
      </x:c>
      <x:c r="W6" s="152" t="n">
        <x:v>9</x:v>
      </x:c>
      <x:c r="X6" s="153" t="n">
        <x:f>AVERAGE(H6,K6,V6,W6)</x:f>
        <x:v>9.125</x:v>
      </x:c>
      <x:c r="Y6" s="153" t="n">
        <x:f>AVERAGE(I6,J6,K6)</x:f>
        <x:v>8.833333333333334</x:v>
      </x:c>
      <x:c r="Z6" s="153" t="n">
        <x:f>AVERAGE(O6,P6,Q6)</x:f>
        <x:v>8.166666666666666</x:v>
      </x:c>
      <x:c r="AA6" s="153" t="n">
        <x:f>R6*'Weights'!$B$4+L6*'Weights'!$B$5+E6*'Weights'!$B$6+F6*'Weights'!$B$7+D6*'Weights'!$B$8+X6*'Weights'!$B$9+Y6*'Weights'!$B$10+Z6*'Weights'!$B$11+S6*'Weights'!$B$12+G6*'Weights'!$B$13</x:f>
        <x:v>9.0425</x:v>
      </x:c>
      <x:c r="AB6" s="154" t="n">
        <x:f>RANK.EQ(AA6,$AA$2:$AA$37,0)</x:f>
        <x:v>10</x:v>
      </x:c>
    </x:row>
    <x:row r="7">
      <x:c r="A7" s="151" t="n">
        <x:v>6</x:v>
      </x:c>
      <x:c r="B7" s="151" t="str">
        <x:v>Negócios e empresas</x:v>
      </x:c>
      <x:c r="C7" s="151" t="str">
        <x:v>Business models and competitive strategy</x:v>
      </x:c>
      <x:c r="D7" s="152" t="n">
        <x:v>9.5</x:v>
      </x:c>
      <x:c r="E7" s="152" t="n">
        <x:v>9.5</x:v>
      </x:c>
      <x:c r="F7" s="152" t="n">
        <x:v>9.5</x:v>
      </x:c>
      <x:c r="G7" s="152" t="n">
        <x:v>10</x:v>
      </x:c>
      <x:c r="H7" s="152" t="n">
        <x:v>8.5</x:v>
      </x:c>
      <x:c r="I7" s="152" t="n">
        <x:v>9.5</x:v>
      </x:c>
      <x:c r="J7" s="152" t="n">
        <x:v>7</x:v>
      </x:c>
      <x:c r="K7" s="152" t="n">
        <x:v>8.5</x:v>
      </x:c>
      <x:c r="L7" s="152" t="n">
        <x:v>9</x:v>
      </x:c>
      <x:c r="M7" s="152" t="n">
        <x:v>9.5</x:v>
      </x:c>
      <x:c r="N7" s="152" t="n">
        <x:v>9.5</x:v>
      </x:c>
      <x:c r="O7" s="152" t="n">
        <x:v>10</x:v>
      </x:c>
      <x:c r="P7" s="152" t="n">
        <x:v>8.5</x:v>
      </x:c>
      <x:c r="Q7" s="152" t="n">
        <x:v>10</x:v>
      </x:c>
      <x:c r="R7" s="152" t="n">
        <x:v>9</x:v>
      </x:c>
      <x:c r="S7" s="152" t="n">
        <x:v>8.5</x:v>
      </x:c>
      <x:c r="T7" s="152" t="n">
        <x:v>8</x:v>
      </x:c>
      <x:c r="U7" s="152" t="n">
        <x:v>8.5</x:v>
      </x:c>
      <x:c r="V7" s="152" t="n">
        <x:v>10</x:v>
      </x:c>
      <x:c r="W7" s="152" t="n">
        <x:v>9</x:v>
      </x:c>
      <x:c r="X7" s="153" t="n">
        <x:f>AVERAGE(H7,K7,V7,W7)</x:f>
        <x:v>9</x:v>
      </x:c>
      <x:c r="Y7" s="153" t="n">
        <x:f>AVERAGE(I7,J7,K7)</x:f>
        <x:v>8.333333333333334</x:v>
      </x:c>
      <x:c r="Z7" s="153" t="n">
        <x:f>AVERAGE(O7,P7,Q7)</x:f>
        <x:v>9.5</x:v>
      </x:c>
      <x:c r="AA7" s="153" t="n">
        <x:f>R7*'Weights'!$B$4+L7*'Weights'!$B$5+E7*'Weights'!$B$6+F7*'Weights'!$B$7+D7*'Weights'!$B$8+X7*'Weights'!$B$9+Y7*'Weights'!$B$10+Z7*'Weights'!$B$11+S7*'Weights'!$B$12+G7*'Weights'!$B$13</x:f>
        <x:v>9.161666666666669</x:v>
      </x:c>
      <x:c r="AB7" s="154" t="n">
        <x:f>RANK.EQ(AA7,$AA$2:$AA$37,0)</x:f>
        <x:v>3</x:v>
      </x:c>
    </x:row>
    <x:row r="8">
      <x:c r="A8" s="151" t="n">
        <x:v>7</x:v>
      </x:c>
      <x:c r="B8" s="151" t="str">
        <x:v>Negócios e empresas</x:v>
      </x:c>
      <x:c r="C8" s="151" t="str">
        <x:v>Corporate rise, pivot and decline</x:v>
      </x:c>
      <x:c r="D8" s="152" t="n">
        <x:v>9</x:v>
      </x:c>
      <x:c r="E8" s="152" t="n">
        <x:v>9.5</x:v>
      </x:c>
      <x:c r="F8" s="152" t="n">
        <x:v>9.5</x:v>
      </x:c>
      <x:c r="G8" s="152" t="n">
        <x:v>10</x:v>
      </x:c>
      <x:c r="H8" s="152" t="n">
        <x:v>7.5</x:v>
      </x:c>
      <x:c r="I8" s="152" t="n">
        <x:v>9</x:v>
      </x:c>
      <x:c r="J8" s="152" t="n">
        <x:v>7</x:v>
      </x:c>
      <x:c r="K8" s="152" t="n">
        <x:v>7.5</x:v>
      </x:c>
      <x:c r="L8" s="152" t="n">
        <x:v>8</x:v>
      </x:c>
      <x:c r="M8" s="152" t="n">
        <x:v>9.5</x:v>
      </x:c>
      <x:c r="N8" s="152" t="n">
        <x:v>9.5</x:v>
      </x:c>
      <x:c r="O8" s="152" t="n">
        <x:v>9</x:v>
      </x:c>
      <x:c r="P8" s="152" t="n">
        <x:v>6.5</x:v>
      </x:c>
      <x:c r="Q8" s="152" t="n">
        <x:v>9</x:v>
      </x:c>
      <x:c r="R8" s="152" t="n">
        <x:v>8</x:v>
      </x:c>
      <x:c r="S8" s="152" t="n">
        <x:v>6.5</x:v>
      </x:c>
      <x:c r="T8" s="152" t="n">
        <x:v>8</x:v>
      </x:c>
      <x:c r="U8" s="152" t="n">
        <x:v>6.5</x:v>
      </x:c>
      <x:c r="V8" s="152" t="n">
        <x:v>10</x:v>
      </x:c>
      <x:c r="W8" s="152" t="n">
        <x:v>8.5</x:v>
      </x:c>
      <x:c r="X8" s="153" t="n">
        <x:f>AVERAGE(H8,K8,V8,W8)</x:f>
        <x:v>8.375</x:v>
      </x:c>
      <x:c r="Y8" s="153" t="n">
        <x:f>AVERAGE(I8,J8,K8)</x:f>
        <x:v>7.833333333333333</x:v>
      </x:c>
      <x:c r="Z8" s="153" t="n">
        <x:f>AVERAGE(O8,P8,Q8)</x:f>
        <x:v>8.166666666666666</x:v>
      </x:c>
      <x:c r="AA8" s="153" t="n">
        <x:f>R8*'Weights'!$B$4+L8*'Weights'!$B$5+E8*'Weights'!$B$6+F8*'Weights'!$B$7+D8*'Weights'!$B$8+X8*'Weights'!$B$9+Y8*'Weights'!$B$10+Z8*'Weights'!$B$11+S8*'Weights'!$B$12+G8*'Weights'!$B$13</x:f>
        <x:v>8.462500000000002</x:v>
      </x:c>
      <x:c r="AB8" s="154" t="n">
        <x:f>RANK.EQ(AA8,$AA$2:$AA$37,0)</x:f>
        <x:v>32</x:v>
      </x:c>
    </x:row>
    <x:row r="9">
      <x:c r="A9" s="151" t="n">
        <x:v>8</x:v>
      </x:c>
      <x:c r="B9" s="151" t="str">
        <x:v>Cultura e mídia</x:v>
      </x:c>
      <x:c r="C9" s="151" t="str">
        <x:v>Media and entertainment business</x:v>
      </x:c>
      <x:c r="D9" s="152" t="n">
        <x:v>9.5</x:v>
      </x:c>
      <x:c r="E9" s="152" t="n">
        <x:v>9</x:v>
      </x:c>
      <x:c r="F9" s="152" t="n">
        <x:v>9</x:v>
      </x:c>
      <x:c r="G9" s="152" t="n">
        <x:v>10</x:v>
      </x:c>
      <x:c r="H9" s="152" t="n">
        <x:v>8</x:v>
      </x:c>
      <x:c r="I9" s="152" t="n">
        <x:v>9</x:v>
      </x:c>
      <x:c r="J9" s="152" t="n">
        <x:v>8</x:v>
      </x:c>
      <x:c r="K9" s="152" t="n">
        <x:v>7.5</x:v>
      </x:c>
      <x:c r="L9" s="152" t="n">
        <x:v>8.5</x:v>
      </x:c>
      <x:c r="M9" s="152" t="n">
        <x:v>9.5</x:v>
      </x:c>
      <x:c r="N9" s="152" t="n">
        <x:v>9.5</x:v>
      </x:c>
      <x:c r="O9" s="152" t="n">
        <x:v>9</x:v>
      </x:c>
      <x:c r="P9" s="152" t="n">
        <x:v>7</x:v>
      </x:c>
      <x:c r="Q9" s="152" t="n">
        <x:v>9</x:v>
      </x:c>
      <x:c r="R9" s="152" t="n">
        <x:v>7.5</x:v>
      </x:c>
      <x:c r="S9" s="152" t="n">
        <x:v>5.5</x:v>
      </x:c>
      <x:c r="T9" s="152" t="n">
        <x:v>7.5</x:v>
      </x:c>
      <x:c r="U9" s="152" t="n">
        <x:v>6</x:v>
      </x:c>
      <x:c r="V9" s="152" t="n">
        <x:v>10</x:v>
      </x:c>
      <x:c r="W9" s="152" t="n">
        <x:v>8</x:v>
      </x:c>
      <x:c r="X9" s="153" t="n">
        <x:f>AVERAGE(H9,K9,V9,W9)</x:f>
        <x:v>8.375</x:v>
      </x:c>
      <x:c r="Y9" s="153" t="n">
        <x:f>AVERAGE(I9,J9,K9)</x:f>
        <x:v>8.166666666666666</x:v>
      </x:c>
      <x:c r="Z9" s="153" t="n">
        <x:f>AVERAGE(O9,P9,Q9)</x:f>
        <x:v>8.333333333333334</x:v>
      </x:c>
      <x:c r="AA9" s="153" t="n">
        <x:f>R9*'Weights'!$B$4+L9*'Weights'!$B$5+E9*'Weights'!$B$6+F9*'Weights'!$B$7+D9*'Weights'!$B$8+X9*'Weights'!$B$9+Y9*'Weights'!$B$10+Z9*'Weights'!$B$11+S9*'Weights'!$B$12+G9*'Weights'!$B$13</x:f>
        <x:v>8.3725</x:v>
      </x:c>
      <x:c r="AB9" s="154" t="n">
        <x:f>RANK.EQ(AA9,$AA$2:$AA$37,0)</x:f>
        <x:v>34</x:v>
      </x:c>
    </x:row>
    <x:row r="10">
      <x:c r="A10" s="151" t="n">
        <x:v>9</x:v>
      </x:c>
      <x:c r="B10" s="151" t="str">
        <x:v>Luxo, marcas e mercados</x:v>
      </x:c>
      <x:c r="C10" s="151" t="str">
        <x:v>Luxury brands and market economics</x:v>
      </x:c>
      <x:c r="D10" s="152" t="n">
        <x:v>8.5</x:v>
      </x:c>
      <x:c r="E10" s="152" t="n">
        <x:v>9</x:v>
      </x:c>
      <x:c r="F10" s="152" t="n">
        <x:v>8.5</x:v>
      </x:c>
      <x:c r="G10" s="152" t="n">
        <x:v>9</x:v>
      </x:c>
      <x:c r="H10" s="152" t="n">
        <x:v>8</x:v>
      </x:c>
      <x:c r="I10" s="152" t="n">
        <x:v>9</x:v>
      </x:c>
      <x:c r="J10" s="152" t="n">
        <x:v>8</x:v>
      </x:c>
      <x:c r="K10" s="152" t="n">
        <x:v>8</x:v>
      </x:c>
      <x:c r="L10" s="152" t="n">
        <x:v>8.5</x:v>
      </x:c>
      <x:c r="M10" s="152" t="n">
        <x:v>9</x:v>
      </x:c>
      <x:c r="N10" s="152" t="n">
        <x:v>9</x:v>
      </x:c>
      <x:c r="O10" s="152" t="n">
        <x:v>9</x:v>
      </x:c>
      <x:c r="P10" s="152" t="n">
        <x:v>8</x:v>
      </x:c>
      <x:c r="Q10" s="152" t="n">
        <x:v>9</x:v>
      </x:c>
      <x:c r="R10" s="152" t="n">
        <x:v>8.5</x:v>
      </x:c>
      <x:c r="S10" s="152" t="n">
        <x:v>7</x:v>
      </x:c>
      <x:c r="T10" s="152" t="n">
        <x:v>8.5</x:v>
      </x:c>
      <x:c r="U10" s="152" t="n">
        <x:v>7</x:v>
      </x:c>
      <x:c r="V10" s="152" t="n">
        <x:v>9.5</x:v>
      </x:c>
      <x:c r="W10" s="152" t="n">
        <x:v>8.5</x:v>
      </x:c>
      <x:c r="X10" s="153" t="n">
        <x:f>AVERAGE(H10,K10,V10,W10)</x:f>
        <x:v>8.5</x:v>
      </x:c>
      <x:c r="Y10" s="153" t="n">
        <x:f>AVERAGE(I10,J10,K10)</x:f>
        <x:v>8.333333333333334</x:v>
      </x:c>
      <x:c r="Z10" s="153" t="n">
        <x:f>AVERAGE(O10,P10,Q10)</x:f>
        <x:v>8.666666666666666</x:v>
      </x:c>
      <x:c r="AA10" s="153" t="n">
        <x:f>R10*'Weights'!$B$4+L10*'Weights'!$B$5+E10*'Weights'!$B$6+F10*'Weights'!$B$7+D10*'Weights'!$B$8+X10*'Weights'!$B$9+Y10*'Weights'!$B$10+Z10*'Weights'!$B$11+S10*'Weights'!$B$12+G10*'Weights'!$B$13</x:f>
        <x:v>8.479999999999999</x:v>
      </x:c>
      <x:c r="AB10" s="154" t="n">
        <x:f>RANK.EQ(AA10,$AA$2:$AA$37,0)</x:f>
        <x:v>29</x:v>
      </x:c>
    </x:row>
    <x:row r="11">
      <x:c r="A11" s="151" t="n">
        <x:v>10</x:v>
      </x:c>
      <x:c r="B11" s="151" t="str">
        <x:v>Tecnologia e IA</x:v>
      </x:c>
      <x:c r="C11" s="151" t="str">
        <x:v>Semiconductors and compute infrastructure</x:v>
      </x:c>
      <x:c r="D11" s="152" t="n">
        <x:v>9</x:v>
      </x:c>
      <x:c r="E11" s="152" t="n">
        <x:v>9.5</x:v>
      </x:c>
      <x:c r="F11" s="152" t="n">
        <x:v>9</x:v>
      </x:c>
      <x:c r="G11" s="152" t="n">
        <x:v>10</x:v>
      </x:c>
      <x:c r="H11" s="152" t="n">
        <x:v>8</x:v>
      </x:c>
      <x:c r="I11" s="152" t="n">
        <x:v>10</x:v>
      </x:c>
      <x:c r="J11" s="152" t="n">
        <x:v>9</x:v>
      </x:c>
      <x:c r="K11" s="152" t="n">
        <x:v>8.5</x:v>
      </x:c>
      <x:c r="L11" s="152" t="n">
        <x:v>9.5</x:v>
      </x:c>
      <x:c r="M11" s="152" t="n">
        <x:v>9.5</x:v>
      </x:c>
      <x:c r="N11" s="152" t="n">
        <x:v>9</x:v>
      </x:c>
      <x:c r="O11" s="152" t="n">
        <x:v>10</x:v>
      </x:c>
      <x:c r="P11" s="152" t="n">
        <x:v>6.5</x:v>
      </x:c>
      <x:c r="Q11" s="152" t="n">
        <x:v>10</x:v>
      </x:c>
      <x:c r="R11" s="152" t="n">
        <x:v>9</x:v>
      </x:c>
      <x:c r="S11" s="152" t="n">
        <x:v>9</x:v>
      </x:c>
      <x:c r="T11" s="152" t="n">
        <x:v>8</x:v>
      </x:c>
      <x:c r="U11" s="152" t="n">
        <x:v>9</x:v>
      </x:c>
      <x:c r="V11" s="152" t="n">
        <x:v>10</x:v>
      </x:c>
      <x:c r="W11" s="152" t="n">
        <x:v>9</x:v>
      </x:c>
      <x:c r="X11" s="153" t="n">
        <x:f>AVERAGE(H11,K11,V11,W11)</x:f>
        <x:v>8.875</x:v>
      </x:c>
      <x:c r="Y11" s="153" t="n">
        <x:f>AVERAGE(I11,J11,K11)</x:f>
        <x:v>9.166666666666666</x:v>
      </x:c>
      <x:c r="Z11" s="153" t="n">
        <x:f>AVERAGE(O11,P11,Q11)</x:f>
        <x:v>8.833333333333334</x:v>
      </x:c>
      <x:c r="AA11" s="153" t="n">
        <x:f>R11*'Weights'!$B$4+L11*'Weights'!$B$5+E11*'Weights'!$B$6+F11*'Weights'!$B$7+D11*'Weights'!$B$8+X11*'Weights'!$B$9+Y11*'Weights'!$B$10+Z11*'Weights'!$B$11+S11*'Weights'!$B$12+G11*'Weights'!$B$13</x:f>
        <x:v>9.172500000000001</x:v>
      </x:c>
      <x:c r="AB11" s="154" t="n">
        <x:f>RANK.EQ(AA11,$AA$2:$AA$37,0)</x:f>
        <x:v>2</x:v>
      </x:c>
    </x:row>
    <x:row r="12">
      <x:c r="A12" s="151" t="n">
        <x:v>11</x:v>
      </x:c>
      <x:c r="B12" s="151" t="str">
        <x:v>Tecnologia e IA</x:v>
      </x:c>
      <x:c r="C12" s="151" t="str">
        <x:v>AI systems, economics and real-world constraints</x:v>
      </x:c>
      <x:c r="D12" s="152" t="n">
        <x:v>10</x:v>
      </x:c>
      <x:c r="E12" s="152" t="n">
        <x:v>9.5</x:v>
      </x:c>
      <x:c r="F12" s="152" t="n">
        <x:v>9</x:v>
      </x:c>
      <x:c r="G12" s="152" t="n">
        <x:v>10</x:v>
      </x:c>
      <x:c r="H12" s="152" t="n">
        <x:v>8.5</x:v>
      </x:c>
      <x:c r="I12" s="152" t="n">
        <x:v>10</x:v>
      </x:c>
      <x:c r="J12" s="152" t="n">
        <x:v>10</x:v>
      </x:c>
      <x:c r="K12" s="152" t="n">
        <x:v>9</x:v>
      </x:c>
      <x:c r="L12" s="152" t="n">
        <x:v>9</x:v>
      </x:c>
      <x:c r="M12" s="152" t="n">
        <x:v>10</x:v>
      </x:c>
      <x:c r="N12" s="152" t="n">
        <x:v>9.5</x:v>
      </x:c>
      <x:c r="O12" s="152" t="n">
        <x:v>10</x:v>
      </x:c>
      <x:c r="P12" s="152" t="n">
        <x:v>9.5</x:v>
      </x:c>
      <x:c r="Q12" s="152" t="n">
        <x:v>10</x:v>
      </x:c>
      <x:c r="R12" s="152" t="n">
        <x:v>8.5</x:v>
      </x:c>
      <x:c r="S12" s="152" t="n">
        <x:v>9</x:v>
      </x:c>
      <x:c r="T12" s="152" t="n">
        <x:v>6.5</x:v>
      </x:c>
      <x:c r="U12" s="152" t="n">
        <x:v>9</x:v>
      </x:c>
      <x:c r="V12" s="152" t="n">
        <x:v>10</x:v>
      </x:c>
      <x:c r="W12" s="152" t="n">
        <x:v>8</x:v>
      </x:c>
      <x:c r="X12" s="153" t="n">
        <x:f>AVERAGE(H12,K12,V12,W12)</x:f>
        <x:v>8.875</x:v>
      </x:c>
      <x:c r="Y12" s="153" t="n">
        <x:f>AVERAGE(I12,J12,K12)</x:f>
        <x:v>9.666666666666666</x:v>
      </x:c>
      <x:c r="Z12" s="153" t="n">
        <x:f>AVERAGE(O12,P12,Q12)</x:f>
        <x:v>9.833333333333334</x:v>
      </x:c>
      <x:c r="AA12" s="153" t="n">
        <x:f>R12*'Weights'!$B$4+L12*'Weights'!$B$5+E12*'Weights'!$B$6+F12*'Weights'!$B$7+D12*'Weights'!$B$8+X12*'Weights'!$B$9+Y12*'Weights'!$B$10+Z12*'Weights'!$B$11+S12*'Weights'!$B$12+G12*'Weights'!$B$13</x:f>
        <x:v>9.242500000000001</x:v>
      </x:c>
      <x:c r="AB12" s="154" t="n">
        <x:f>RANK.EQ(AA12,$AA$2:$AA$37,0)</x:f>
        <x:v>1</x:v>
      </x:c>
    </x:row>
    <x:row r="13">
      <x:c r="A13" s="151" t="n">
        <x:v>12</x:v>
      </x:c>
      <x:c r="B13" s="151" t="str">
        <x:v>Tecnologia e IA</x:v>
      </x:c>
      <x:c r="C13" s="151" t="str">
        <x:v>Internet architecture and cloud systems</x:v>
      </x:c>
      <x:c r="D13" s="152" t="n">
        <x:v>8.5</x:v>
      </x:c>
      <x:c r="E13" s="152" t="n">
        <x:v>9</x:v>
      </x:c>
      <x:c r="F13" s="152" t="n">
        <x:v>8.5</x:v>
      </x:c>
      <x:c r="G13" s="152" t="n">
        <x:v>10</x:v>
      </x:c>
      <x:c r="H13" s="152" t="n">
        <x:v>9</x:v>
      </x:c>
      <x:c r="I13" s="152" t="n">
        <x:v>10</x:v>
      </x:c>
      <x:c r="J13" s="152" t="n">
        <x:v>8</x:v>
      </x:c>
      <x:c r="K13" s="152" t="n">
        <x:v>9</x:v>
      </x:c>
      <x:c r="L13" s="152" t="n">
        <x:v>9</x:v>
      </x:c>
      <x:c r="M13" s="152" t="n">
        <x:v>9</x:v>
      </x:c>
      <x:c r="N13" s="152" t="n">
        <x:v>9</x:v>
      </x:c>
      <x:c r="O13" s="152" t="n">
        <x:v>10</x:v>
      </x:c>
      <x:c r="P13" s="152" t="n">
        <x:v>9</x:v>
      </x:c>
      <x:c r="Q13" s="152" t="n">
        <x:v>10</x:v>
      </x:c>
      <x:c r="R13" s="152" t="n">
        <x:v>9.5</x:v>
      </x:c>
      <x:c r="S13" s="152" t="n">
        <x:v>9.5</x:v>
      </x:c>
      <x:c r="T13" s="152" t="n">
        <x:v>8.5</x:v>
      </x:c>
      <x:c r="U13" s="152" t="n">
        <x:v>9.5</x:v>
      </x:c>
      <x:c r="V13" s="152" t="n">
        <x:v>10</x:v>
      </x:c>
      <x:c r="W13" s="152" t="n">
        <x:v>9</x:v>
      </x:c>
      <x:c r="X13" s="153" t="n">
        <x:f>AVERAGE(H13,K13,V13,W13)</x:f>
        <x:v>9.25</x:v>
      </x:c>
      <x:c r="Y13" s="153" t="n">
        <x:f>AVERAGE(I13,J13,K13)</x:f>
        <x:v>9</x:v>
      </x:c>
      <x:c r="Z13" s="153" t="n">
        <x:f>AVERAGE(O13,P13,Q13)</x:f>
        <x:v>9.666666666666666</x:v>
      </x:c>
      <x:c r="AA13" s="153" t="n">
        <x:f>R13*'Weights'!$B$4+L13*'Weights'!$B$5+E13*'Weights'!$B$6+F13*'Weights'!$B$7+D13*'Weights'!$B$8+X13*'Weights'!$B$9+Y13*'Weights'!$B$10+Z13*'Weights'!$B$11+S13*'Weights'!$B$12+G13*'Weights'!$B$13</x:f>
        <x:v>9.138333333333332</x:v>
      </x:c>
      <x:c r="AB13" s="154" t="n">
        <x:f>RANK.EQ(AA13,$AA$2:$AA$37,0)</x:f>
        <x:v>4</x:v>
      </x:c>
    </x:row>
    <x:row r="14">
      <x:c r="A14" s="151" t="n">
        <x:v>13</x:v>
      </x:c>
      <x:c r="B14" s="151" t="str">
        <x:v>Segurança digital</x:v>
      </x:c>
      <x:c r="C14" s="151" t="str">
        <x:v>Cybersecurity incident anatomy</x:v>
      </x:c>
      <x:c r="D14" s="152" t="n">
        <x:v>9</x:v>
      </x:c>
      <x:c r="E14" s="152" t="n">
        <x:v>9.5</x:v>
      </x:c>
      <x:c r="F14" s="152" t="n">
        <x:v>9.5</x:v>
      </x:c>
      <x:c r="G14" s="152" t="n">
        <x:v>10</x:v>
      </x:c>
      <x:c r="H14" s="152" t="n">
        <x:v>8.5</x:v>
      </x:c>
      <x:c r="I14" s="152" t="n">
        <x:v>10</x:v>
      </x:c>
      <x:c r="J14" s="152" t="n">
        <x:v>7</x:v>
      </x:c>
      <x:c r="K14" s="152" t="n">
        <x:v>7.5</x:v>
      </x:c>
      <x:c r="L14" s="152" t="n">
        <x:v>9</x:v>
      </x:c>
      <x:c r="M14" s="152" t="n">
        <x:v>9.5</x:v>
      </x:c>
      <x:c r="N14" s="152" t="n">
        <x:v>9</x:v>
      </x:c>
      <x:c r="O14" s="152" t="n">
        <x:v>10</x:v>
      </x:c>
      <x:c r="P14" s="152" t="n">
        <x:v>9</x:v>
      </x:c>
      <x:c r="Q14" s="152" t="n">
        <x:v>10</x:v>
      </x:c>
      <x:c r="R14" s="152" t="n">
        <x:v>7.5</x:v>
      </x:c>
      <x:c r="S14" s="152" t="n">
        <x:v>8.5</x:v>
      </x:c>
      <x:c r="T14" s="152" t="n">
        <x:v>7</x:v>
      </x:c>
      <x:c r="U14" s="152" t="n">
        <x:v>9</x:v>
      </x:c>
      <x:c r="V14" s="152" t="n">
        <x:v>10</x:v>
      </x:c>
      <x:c r="W14" s="152" t="n">
        <x:v>8</x:v>
      </x:c>
      <x:c r="X14" s="153" t="n">
        <x:f>AVERAGE(H14,K14,V14,W14)</x:f>
        <x:v>8.5</x:v>
      </x:c>
      <x:c r="Y14" s="153" t="n">
        <x:f>AVERAGE(I14,J14,K14)</x:f>
        <x:v>8.166666666666666</x:v>
      </x:c>
      <x:c r="Z14" s="153" t="n">
        <x:f>AVERAGE(O14,P14,Q14)</x:f>
        <x:v>9.666666666666666</x:v>
      </x:c>
      <x:c r="AA14" s="153" t="n">
        <x:f>R14*'Weights'!$B$4+L14*'Weights'!$B$5+E14*'Weights'!$B$6+F14*'Weights'!$B$7+D14*'Weights'!$B$8+X14*'Weights'!$B$9+Y14*'Weights'!$B$10+Z14*'Weights'!$B$11+S14*'Weights'!$B$12+G14*'Weights'!$B$13</x:f>
        <x:v>8.836666666666666</x:v>
      </x:c>
      <x:c r="AB14" s="154" t="n">
        <x:f>RANK.EQ(AA14,$AA$2:$AA$37,0)</x:f>
        <x:v>22</x:v>
      </x:c>
    </x:row>
    <x:row r="15">
      <x:c r="A15" s="151" t="n">
        <x:v>14</x:v>
      </x:c>
      <x:c r="B15" s="151" t="str">
        <x:v>Segurança digital</x:v>
      </x:c>
      <x:c r="C15" s="151" t="str">
        <x:v>Digital scams and consumer protection</x:v>
      </x:c>
      <x:c r="D15" s="152" t="n">
        <x:v>9.5</x:v>
      </x:c>
      <x:c r="E15" s="152" t="n">
        <x:v>9</x:v>
      </x:c>
      <x:c r="F15" s="152" t="n">
        <x:v>9.5</x:v>
      </x:c>
      <x:c r="G15" s="152" t="n">
        <x:v>10</x:v>
      </x:c>
      <x:c r="H15" s="152" t="n">
        <x:v>9</x:v>
      </x:c>
      <x:c r="I15" s="152" t="n">
        <x:v>9</x:v>
      </x:c>
      <x:c r="J15" s="152" t="n">
        <x:v>7</x:v>
      </x:c>
      <x:c r="K15" s="152" t="n">
        <x:v>8</x:v>
      </x:c>
      <x:c r="L15" s="152" t="n">
        <x:v>9</x:v>
      </x:c>
      <x:c r="M15" s="152" t="n">
        <x:v>10</x:v>
      </x:c>
      <x:c r="N15" s="152" t="n">
        <x:v>9.5</x:v>
      </x:c>
      <x:c r="O15" s="152" t="n">
        <x:v>10</x:v>
      </x:c>
      <x:c r="P15" s="152" t="n">
        <x:v>9.5</x:v>
      </x:c>
      <x:c r="Q15" s="152" t="n">
        <x:v>10</x:v>
      </x:c>
      <x:c r="R15" s="152" t="n">
        <x:v>7.5</x:v>
      </x:c>
      <x:c r="S15" s="152" t="n">
        <x:v>8</x:v>
      </x:c>
      <x:c r="T15" s="152" t="n">
        <x:v>7</x:v>
      </x:c>
      <x:c r="U15" s="152" t="n">
        <x:v>9</x:v>
      </x:c>
      <x:c r="V15" s="152" t="n">
        <x:v>10</x:v>
      </x:c>
      <x:c r="W15" s="152" t="n">
        <x:v>8</x:v>
      </x:c>
      <x:c r="X15" s="153" t="n">
        <x:f>AVERAGE(H15,K15,V15,W15)</x:f>
        <x:v>8.75</x:v>
      </x:c>
      <x:c r="Y15" s="153" t="n">
        <x:f>AVERAGE(I15,J15,K15)</x:f>
        <x:v>8</x:v>
      </x:c>
      <x:c r="Z15" s="153" t="n">
        <x:f>AVERAGE(O15,P15,Q15)</x:f>
        <x:v>9.833333333333334</x:v>
      </x:c>
      <x:c r="AA15" s="153" t="n">
        <x:f>R15*'Weights'!$B$4+L15*'Weights'!$B$5+E15*'Weights'!$B$6+F15*'Weights'!$B$7+D15*'Weights'!$B$8+X15*'Weights'!$B$9+Y15*'Weights'!$B$10+Z15*'Weights'!$B$11+S15*'Weights'!$B$12+G15*'Weights'!$B$13</x:f>
        <x:v>8.816666666666666</x:v>
      </x:c>
      <x:c r="AB15" s="154" t="n">
        <x:f>RANK.EQ(AA15,$AA$2:$AA$37,0)</x:f>
        <x:v>24</x:v>
      </x:c>
    </x:row>
    <x:row r="16">
      <x:c r="A16" s="151" t="n">
        <x:v>15</x:v>
      </x:c>
      <x:c r="B16" s="151" t="str">
        <x:v>História e civilizações</x:v>
      </x:c>
      <x:c r="C16" s="151" t="str">
        <x:v>History through systems and logistics</x:v>
      </x:c>
      <x:c r="D16" s="152" t="n">
        <x:v>8.5</x:v>
      </x:c>
      <x:c r="E16" s="152" t="n">
        <x:v>9.5</x:v>
      </x:c>
      <x:c r="F16" s="152" t="n">
        <x:v>9.5</x:v>
      </x:c>
      <x:c r="G16" s="152" t="n">
        <x:v>10</x:v>
      </x:c>
      <x:c r="H16" s="152" t="n">
        <x:v>8.5</x:v>
      </x:c>
      <x:c r="I16" s="152" t="n">
        <x:v>10</x:v>
      </x:c>
      <x:c r="J16" s="152" t="n">
        <x:v>8</x:v>
      </x:c>
      <x:c r="K16" s="152" t="n">
        <x:v>8</x:v>
      </x:c>
      <x:c r="L16" s="152" t="n">
        <x:v>9.5</x:v>
      </x:c>
      <x:c r="M16" s="152" t="n">
        <x:v>9</x:v>
      </x:c>
      <x:c r="N16" s="152" t="n">
        <x:v>9</x:v>
      </x:c>
      <x:c r="O16" s="152" t="n">
        <x:v>8</x:v>
      </x:c>
      <x:c r="P16" s="152" t="n">
        <x:v>6</x:v>
      </x:c>
      <x:c r="Q16" s="152" t="n">
        <x:v>8</x:v>
      </x:c>
      <x:c r="R16" s="152" t="n">
        <x:v>9.5</x:v>
      </x:c>
      <x:c r="S16" s="152" t="n">
        <x:v>9</x:v>
      </x:c>
      <x:c r="T16" s="152" t="n">
        <x:v>8.5</x:v>
      </x:c>
      <x:c r="U16" s="152" t="n">
        <x:v>9</x:v>
      </x:c>
      <x:c r="V16" s="152" t="n">
        <x:v>10</x:v>
      </x:c>
      <x:c r="W16" s="152" t="n">
        <x:v>9</x:v>
      </x:c>
      <x:c r="X16" s="153" t="n">
        <x:f>AVERAGE(H16,K16,V16,W16)</x:f>
        <x:v>8.875</x:v>
      </x:c>
      <x:c r="Y16" s="153" t="n">
        <x:f>AVERAGE(I16,J16,K16)</x:f>
        <x:v>8.666666666666666</x:v>
      </x:c>
      <x:c r="Z16" s="153" t="n">
        <x:f>AVERAGE(O16,P16,Q16)</x:f>
        <x:v>7.333333333333333</x:v>
      </x:c>
      <x:c r="AA16" s="153" t="n">
        <x:f>R16*'Weights'!$B$4+L16*'Weights'!$B$5+E16*'Weights'!$B$6+F16*'Weights'!$B$7+D16*'Weights'!$B$8+X16*'Weights'!$B$9+Y16*'Weights'!$B$10+Z16*'Weights'!$B$11+S16*'Weights'!$B$12+G16*'Weights'!$B$13</x:f>
        <x:v>9.087500000000002</x:v>
      </x:c>
      <x:c r="AB16" s="154" t="n">
        <x:f>RANK.EQ(AA16,$AA$2:$AA$37,0)</x:f>
        <x:v>6</x:v>
      </x:c>
    </x:row>
    <x:row r="17">
      <x:c r="A17" s="151" t="n">
        <x:v>16</x:v>
      </x:c>
      <x:c r="B17" s="151" t="str">
        <x:v>História e civilizações</x:v>
      </x:c>
      <x:c r="C17" s="151" t="str">
        <x:v>Archaeology and lost cities—evidence first</x:v>
      </x:c>
      <x:c r="D17" s="152" t="n">
        <x:v>9</x:v>
      </x:c>
      <x:c r="E17" s="152" t="n">
        <x:v>9.5</x:v>
      </x:c>
      <x:c r="F17" s="152" t="n">
        <x:v>9.5</x:v>
      </x:c>
      <x:c r="G17" s="152" t="n">
        <x:v>10</x:v>
      </x:c>
      <x:c r="H17" s="152" t="n">
        <x:v>8</x:v>
      </x:c>
      <x:c r="I17" s="152" t="n">
        <x:v>10</x:v>
      </x:c>
      <x:c r="J17" s="152" t="n">
        <x:v>9</x:v>
      </x:c>
      <x:c r="K17" s="152" t="n">
        <x:v>7.5</x:v>
      </x:c>
      <x:c r="L17" s="152" t="n">
        <x:v>9</x:v>
      </x:c>
      <x:c r="M17" s="152" t="n">
        <x:v>9.5</x:v>
      </x:c>
      <x:c r="N17" s="152" t="n">
        <x:v>9.5</x:v>
      </x:c>
      <x:c r="O17" s="152" t="n">
        <x:v>7</x:v>
      </x:c>
      <x:c r="P17" s="152" t="n">
        <x:v>5</x:v>
      </x:c>
      <x:c r="Q17" s="152" t="n">
        <x:v>7</x:v>
      </x:c>
      <x:c r="R17" s="152" t="n">
        <x:v>8.5</x:v>
      </x:c>
      <x:c r="S17" s="152" t="n">
        <x:v>8</x:v>
      </x:c>
      <x:c r="T17" s="152" t="n">
        <x:v>6.5</x:v>
      </x:c>
      <x:c r="U17" s="152" t="n">
        <x:v>8</x:v>
      </x:c>
      <x:c r="V17" s="152" t="n">
        <x:v>10</x:v>
      </x:c>
      <x:c r="W17" s="152" t="n">
        <x:v>8</x:v>
      </x:c>
      <x:c r="X17" s="153" t="n">
        <x:f>AVERAGE(H17,K17,V17,W17)</x:f>
        <x:v>8.375</x:v>
      </x:c>
      <x:c r="Y17" s="153" t="n">
        <x:f>AVERAGE(I17,J17,K17)</x:f>
        <x:v>8.833333333333334</x:v>
      </x:c>
      <x:c r="Z17" s="153" t="n">
        <x:f>AVERAGE(O17,P17,Q17)</x:f>
        <x:v>6.333333333333333</x:v>
      </x:c>
      <x:c r="AA17" s="153" t="n">
        <x:f>R17*'Weights'!$B$4+L17*'Weights'!$B$5+E17*'Weights'!$B$6+F17*'Weights'!$B$7+D17*'Weights'!$B$8+X17*'Weights'!$B$9+Y17*'Weights'!$B$10+Z17*'Weights'!$B$11+S17*'Weights'!$B$12+G17*'Weights'!$B$13</x:f>
        <x:v>8.725833333333334</x:v>
      </x:c>
      <x:c r="AB17" s="154" t="n">
        <x:f>RANK.EQ(AA17,$AA$2:$AA$37,0)</x:f>
        <x:v>27</x:v>
      </x:c>
    </x:row>
    <x:row r="18">
      <x:c r="A18" s="151" t="n">
        <x:v>17</x:v>
      </x:c>
      <x:c r="B18" s="151" t="str">
        <x:v>Biografias</x:v>
      </x:c>
      <x:c r="C18" s="151" t="str">
        <x:v>Inventors and industrialists in context</x:v>
      </x:c>
      <x:c r="D18" s="152" t="n">
        <x:v>8</x:v>
      </x:c>
      <x:c r="E18" s="152" t="n">
        <x:v>9</x:v>
      </x:c>
      <x:c r="F18" s="152" t="n">
        <x:v>9</x:v>
      </x:c>
      <x:c r="G18" s="152" t="n">
        <x:v>9.5</x:v>
      </x:c>
      <x:c r="H18" s="152" t="n">
        <x:v>8</x:v>
      </x:c>
      <x:c r="I18" s="152" t="n">
        <x:v>9</x:v>
      </x:c>
      <x:c r="J18" s="152" t="n">
        <x:v>8</x:v>
      </x:c>
      <x:c r="K18" s="152" t="n">
        <x:v>7.5</x:v>
      </x:c>
      <x:c r="L18" s="152" t="n">
        <x:v>9</x:v>
      </x:c>
      <x:c r="M18" s="152" t="n">
        <x:v>8.5</x:v>
      </x:c>
      <x:c r="N18" s="152" t="n">
        <x:v>9</x:v>
      </x:c>
      <x:c r="O18" s="152" t="n">
        <x:v>8</x:v>
      </x:c>
      <x:c r="P18" s="152" t="n">
        <x:v>6</x:v>
      </x:c>
      <x:c r="Q18" s="152" t="n">
        <x:v>8</x:v>
      </x:c>
      <x:c r="R18" s="152" t="n">
        <x:v>8.5</x:v>
      </x:c>
      <x:c r="S18" s="152" t="n">
        <x:v>7</x:v>
      </x:c>
      <x:c r="T18" s="152" t="n">
        <x:v>8.5</x:v>
      </x:c>
      <x:c r="U18" s="152" t="n">
        <x:v>7</x:v>
      </x:c>
      <x:c r="V18" s="152" t="n">
        <x:v>10</x:v>
      </x:c>
      <x:c r="W18" s="152" t="n">
        <x:v>8.5</x:v>
      </x:c>
      <x:c r="X18" s="153" t="n">
        <x:f>AVERAGE(H18,K18,V18,W18)</x:f>
        <x:v>8.5</x:v>
      </x:c>
      <x:c r="Y18" s="153" t="n">
        <x:f>AVERAGE(I18,J18,K18)</x:f>
        <x:v>8.166666666666666</x:v>
      </x:c>
      <x:c r="Z18" s="153" t="n">
        <x:f>AVERAGE(O18,P18,Q18)</x:f>
        <x:v>7.333333333333333</x:v>
      </x:c>
      <x:c r="AA18" s="153" t="n">
        <x:f>R18*'Weights'!$B$4+L18*'Weights'!$B$5+E18*'Weights'!$B$6+F18*'Weights'!$B$7+D18*'Weights'!$B$8+X18*'Weights'!$B$9+Y18*'Weights'!$B$10+Z18*'Weights'!$B$11+S18*'Weights'!$B$12+G18*'Weights'!$B$13</x:f>
        <x:v>8.46</x:v>
      </x:c>
      <x:c r="AB18" s="154" t="n">
        <x:f>RANK.EQ(AA18,$AA$2:$AA$37,0)</x:f>
        <x:v>33</x:v>
      </x:c>
    </x:row>
    <x:row r="19">
      <x:c r="A19" s="151" t="n">
        <x:v>18</x:v>
      </x:c>
      <x:c r="B19" s="151" t="str">
        <x:v>Espaço</x:v>
      </x:c>
      <x:c r="C19" s="151" t="str">
        <x:v>Space missions and engineering</x:v>
      </x:c>
      <x:c r="D19" s="152" t="n">
        <x:v>9</x:v>
      </x:c>
      <x:c r="E19" s="152" t="n">
        <x:v>9.5</x:v>
      </x:c>
      <x:c r="F19" s="152" t="n">
        <x:v>9</x:v>
      </x:c>
      <x:c r="G19" s="152" t="n">
        <x:v>10</x:v>
      </x:c>
      <x:c r="H19" s="152" t="n">
        <x:v>8.5</x:v>
      </x:c>
      <x:c r="I19" s="152" t="n">
        <x:v>10</x:v>
      </x:c>
      <x:c r="J19" s="152" t="n">
        <x:v>9</x:v>
      </x:c>
      <x:c r="K19" s="152" t="n">
        <x:v>8.5</x:v>
      </x:c>
      <x:c r="L19" s="152" t="n">
        <x:v>8.5</x:v>
      </x:c>
      <x:c r="M19" s="152" t="n">
        <x:v>9.5</x:v>
      </x:c>
      <x:c r="N19" s="152" t="n">
        <x:v>9</x:v>
      </x:c>
      <x:c r="O19" s="152" t="n">
        <x:v>8.5</x:v>
      </x:c>
      <x:c r="P19" s="152" t="n">
        <x:v>6</x:v>
      </x:c>
      <x:c r="Q19" s="152" t="n">
        <x:v>8.5</x:v>
      </x:c>
      <x:c r="R19" s="152" t="n">
        <x:v>9.5</x:v>
      </x:c>
      <x:c r="S19" s="152" t="n">
        <x:v>8.5</x:v>
      </x:c>
      <x:c r="T19" s="152" t="n">
        <x:v>9</x:v>
      </x:c>
      <x:c r="U19" s="152" t="n">
        <x:v>8.5</x:v>
      </x:c>
      <x:c r="V19" s="152" t="n">
        <x:v>10</x:v>
      </x:c>
      <x:c r="W19" s="152" t="n">
        <x:v>9</x:v>
      </x:c>
      <x:c r="X19" s="153" t="n">
        <x:f>AVERAGE(H19,K19,V19,W19)</x:f>
        <x:v>9</x:v>
      </x:c>
      <x:c r="Y19" s="153" t="n">
        <x:f>AVERAGE(I19,J19,K19)</x:f>
        <x:v>9.166666666666666</x:v>
      </x:c>
      <x:c r="Z19" s="153" t="n">
        <x:f>AVERAGE(O19,P19,Q19)</x:f>
        <x:v>7.666666666666667</x:v>
      </x:c>
      <x:c r="AA19" s="153" t="n">
        <x:f>R19*'Weights'!$B$4+L19*'Weights'!$B$5+E19*'Weights'!$B$6+F19*'Weights'!$B$7+D19*'Weights'!$B$8+X19*'Weights'!$B$9+Y19*'Weights'!$B$10+Z19*'Weights'!$B$11+S19*'Weights'!$B$12+G19*'Weights'!$B$13</x:f>
        <x:v>8.981666666666667</x:v>
      </x:c>
      <x:c r="AB19" s="154" t="n">
        <x:f>RANK.EQ(AA19,$AA$2:$AA$37,0)</x:f>
        <x:v>13</x:v>
      </x:c>
    </x:row>
    <x:row r="20">
      <x:c r="A20" s="151" t="n">
        <x:v>19</x:v>
      </x:c>
      <x:c r="B20" s="151" t="str">
        <x:v>Espaço</x:v>
      </x:c>
      <x:c r="C20" s="151" t="str">
        <x:v>Astronomy and cosmic phenomena</x:v>
      </x:c>
      <x:c r="D20" s="152" t="n">
        <x:v>9</x:v>
      </x:c>
      <x:c r="E20" s="152" t="n">
        <x:v>9</x:v>
      </x:c>
      <x:c r="F20" s="152" t="n">
        <x:v>8.5</x:v>
      </x:c>
      <x:c r="G20" s="152" t="n">
        <x:v>10</x:v>
      </x:c>
      <x:c r="H20" s="152" t="n">
        <x:v>9</x:v>
      </x:c>
      <x:c r="I20" s="152" t="n">
        <x:v>10</x:v>
      </x:c>
      <x:c r="J20" s="152" t="n">
        <x:v>10</x:v>
      </x:c>
      <x:c r="K20" s="152" t="n">
        <x:v>9</x:v>
      </x:c>
      <x:c r="L20" s="152" t="n">
        <x:v>7.5</x:v>
      </x:c>
      <x:c r="M20" s="152" t="n">
        <x:v>9.5</x:v>
      </x:c>
      <x:c r="N20" s="152" t="n">
        <x:v>9</x:v>
      </x:c>
      <x:c r="O20" s="152" t="n">
        <x:v>8</x:v>
      </x:c>
      <x:c r="P20" s="152" t="n">
        <x:v>6</x:v>
      </x:c>
      <x:c r="Q20" s="152" t="n">
        <x:v>8</x:v>
      </x:c>
      <x:c r="R20" s="152" t="n">
        <x:v>9.5</x:v>
      </x:c>
      <x:c r="S20" s="152" t="n">
        <x:v>9.5</x:v>
      </x:c>
      <x:c r="T20" s="152" t="n">
        <x:v>9</x:v>
      </x:c>
      <x:c r="U20" s="152" t="n">
        <x:v>9.5</x:v>
      </x:c>
      <x:c r="V20" s="152" t="n">
        <x:v>10</x:v>
      </x:c>
      <x:c r="W20" s="152" t="n">
        <x:v>8.5</x:v>
      </x:c>
      <x:c r="X20" s="153" t="n">
        <x:f>AVERAGE(H20,K20,V20,W20)</x:f>
        <x:v>9.125</x:v>
      </x:c>
      <x:c r="Y20" s="153" t="n">
        <x:f>AVERAGE(I20,J20,K20)</x:f>
        <x:v>9.666666666666666</x:v>
      </x:c>
      <x:c r="Z20" s="153" t="n">
        <x:f>AVERAGE(O20,P20,Q20)</x:f>
        <x:v>7.333333333333333</x:v>
      </x:c>
      <x:c r="AA20" s="153" t="n">
        <x:f>R20*'Weights'!$B$4+L20*'Weights'!$B$5+E20*'Weights'!$B$6+F20*'Weights'!$B$7+D20*'Weights'!$B$8+X20*'Weights'!$B$9+Y20*'Weights'!$B$10+Z20*'Weights'!$B$11+S20*'Weights'!$B$12+G20*'Weights'!$B$13</x:f>
        <x:v>8.8175</x:v>
      </x:c>
      <x:c r="AB20" s="154" t="n">
        <x:f>RANK.EQ(AA20,$AA$2:$AA$37,0)</x:f>
        <x:v>23</x:v>
      </x:c>
    </x:row>
    <x:row r="21">
      <x:c r="A21" s="151" t="n">
        <x:v>20</x:v>
      </x:c>
      <x:c r="B21" s="151" t="str">
        <x:v>Ciência e engenharia</x:v>
      </x:c>
      <x:c r="C21" s="151" t="str">
        <x:v>Materials science in everyday life</x:v>
      </x:c>
      <x:c r="D21" s="152" t="n">
        <x:v>8.5</x:v>
      </x:c>
      <x:c r="E21" s="152" t="n">
        <x:v>9</x:v>
      </x:c>
      <x:c r="F21" s="152" t="n">
        <x:v>8.5</x:v>
      </x:c>
      <x:c r="G21" s="152" t="n">
        <x:v>10</x:v>
      </x:c>
      <x:c r="H21" s="152" t="n">
        <x:v>9.5</x:v>
      </x:c>
      <x:c r="I21" s="152" t="n">
        <x:v>10</x:v>
      </x:c>
      <x:c r="J21" s="152" t="n">
        <x:v>9</x:v>
      </x:c>
      <x:c r="K21" s="152" t="n">
        <x:v>9</x:v>
      </x:c>
      <x:c r="L21" s="152" t="n">
        <x:v>9</x:v>
      </x:c>
      <x:c r="M21" s="152" t="n">
        <x:v>9</x:v>
      </x:c>
      <x:c r="N21" s="152" t="n">
        <x:v>9</x:v>
      </x:c>
      <x:c r="O21" s="152" t="n">
        <x:v>9</x:v>
      </x:c>
      <x:c r="P21" s="152" t="n">
        <x:v>8</x:v>
      </x:c>
      <x:c r="Q21" s="152" t="n">
        <x:v>9</x:v>
      </x:c>
      <x:c r="R21" s="152" t="n">
        <x:v>9.5</x:v>
      </x:c>
      <x:c r="S21" s="152" t="n">
        <x:v>9.5</x:v>
      </x:c>
      <x:c r="T21" s="152" t="n">
        <x:v>9</x:v>
      </x:c>
      <x:c r="U21" s="152" t="n">
        <x:v>9.5</x:v>
      </x:c>
      <x:c r="V21" s="152" t="n">
        <x:v>10</x:v>
      </x:c>
      <x:c r="W21" s="152" t="n">
        <x:v>9.5</x:v>
      </x:c>
      <x:c r="X21" s="153" t="n">
        <x:f>AVERAGE(H21,K21,V21,W21)</x:f>
        <x:v>9.5</x:v>
      </x:c>
      <x:c r="Y21" s="153" t="n">
        <x:f>AVERAGE(I21,J21,K21)</x:f>
        <x:v>9.333333333333334</x:v>
      </x:c>
      <x:c r="Z21" s="153" t="n">
        <x:f>AVERAGE(O21,P21,Q21)</x:f>
        <x:v>8.666666666666666</x:v>
      </x:c>
      <x:c r="AA21" s="153" t="n">
        <x:f>R21*'Weights'!$B$4+L21*'Weights'!$B$5+E21*'Weights'!$B$6+F21*'Weights'!$B$7+D21*'Weights'!$B$8+X21*'Weights'!$B$9+Y21*'Weights'!$B$10+Z21*'Weights'!$B$11+S21*'Weights'!$B$12+G21*'Weights'!$B$13</x:f>
        <x:v>9.11</x:v>
      </x:c>
      <x:c r="AB21" s="154" t="n">
        <x:f>RANK.EQ(AA21,$AA$2:$AA$37,0)</x:f>
        <x:v>5</x:v>
      </x:c>
    </x:row>
    <x:row r="22">
      <x:c r="A22" s="151" t="n">
        <x:v>21</x:v>
      </x:c>
      <x:c r="B22" s="151" t="str">
        <x:v>Energia e ambiente</x:v>
      </x:c>
      <x:c r="C22" s="151" t="str">
        <x:v>Energy systems and transition</x:v>
      </x:c>
      <x:c r="D22" s="152" t="n">
        <x:v>9.5</x:v>
      </x:c>
      <x:c r="E22" s="152" t="n">
        <x:v>9.5</x:v>
      </x:c>
      <x:c r="F22" s="152" t="n">
        <x:v>9</x:v>
      </x:c>
      <x:c r="G22" s="152" t="n">
        <x:v>10</x:v>
      </x:c>
      <x:c r="H22" s="152" t="n">
        <x:v>8.5</x:v>
      </x:c>
      <x:c r="I22" s="152" t="n">
        <x:v>10</x:v>
      </x:c>
      <x:c r="J22" s="152" t="n">
        <x:v>8</x:v>
      </x:c>
      <x:c r="K22" s="152" t="n">
        <x:v>8</x:v>
      </x:c>
      <x:c r="L22" s="152" t="n">
        <x:v>9</x:v>
      </x:c>
      <x:c r="M22" s="152" t="n">
        <x:v>9.5</x:v>
      </x:c>
      <x:c r="N22" s="152" t="n">
        <x:v>9</x:v>
      </x:c>
      <x:c r="O22" s="152" t="n">
        <x:v>9.5</x:v>
      </x:c>
      <x:c r="P22" s="152" t="n">
        <x:v>6</x:v>
      </x:c>
      <x:c r="Q22" s="152" t="n">
        <x:v>9.5</x:v>
      </x:c>
      <x:c r="R22" s="152" t="n">
        <x:v>8.5</x:v>
      </x:c>
      <x:c r="S22" s="152" t="n">
        <x:v>9</x:v>
      </x:c>
      <x:c r="T22" s="152" t="n">
        <x:v>6.5</x:v>
      </x:c>
      <x:c r="U22" s="152" t="n">
        <x:v>9</x:v>
      </x:c>
      <x:c r="V22" s="152" t="n">
        <x:v>10</x:v>
      </x:c>
      <x:c r="W22" s="152" t="n">
        <x:v>8.5</x:v>
      </x:c>
      <x:c r="X22" s="153" t="n">
        <x:f>AVERAGE(H22,K22,V22,W22)</x:f>
        <x:v>8.75</x:v>
      </x:c>
      <x:c r="Y22" s="153" t="n">
        <x:f>AVERAGE(I22,J22,K22)</x:f>
        <x:v>8.666666666666666</x:v>
      </x:c>
      <x:c r="Z22" s="153" t="n">
        <x:f>AVERAGE(O22,P22,Q22)</x:f>
        <x:v>8.333333333333334</x:v>
      </x:c>
      <x:c r="AA22" s="153" t="n">
        <x:f>R22*'Weights'!$B$4+L22*'Weights'!$B$5+E22*'Weights'!$B$6+F22*'Weights'!$B$7+D22*'Weights'!$B$8+X22*'Weights'!$B$9+Y22*'Weights'!$B$10+Z22*'Weights'!$B$11+S22*'Weights'!$B$12+G22*'Weights'!$B$13</x:f>
        <x:v>8.98</x:v>
      </x:c>
      <x:c r="AB22" s="154" t="n">
        <x:f>RANK.EQ(AA22,$AA$2:$AA$37,0)</x:f>
        <x:v>14</x:v>
      </x:c>
    </x:row>
    <x:row r="23">
      <x:c r="A23" s="151" t="n">
        <x:v>22</x:v>
      </x:c>
      <x:c r="B23" s="151" t="str">
        <x:v>Energia e ambiente</x:v>
      </x:c>
      <x:c r="C23" s="151" t="str">
        <x:v>Water, climate adaptation and resilience</x:v>
      </x:c>
      <x:c r="D23" s="152" t="n">
        <x:v>9</x:v>
      </x:c>
      <x:c r="E23" s="152" t="n">
        <x:v>9.5</x:v>
      </x:c>
      <x:c r="F23" s="152" t="n">
        <x:v>9</x:v>
      </x:c>
      <x:c r="G23" s="152" t="n">
        <x:v>10</x:v>
      </x:c>
      <x:c r="H23" s="152" t="n">
        <x:v>8</x:v>
      </x:c>
      <x:c r="I23" s="152" t="n">
        <x:v>10</x:v>
      </x:c>
      <x:c r="J23" s="152" t="n">
        <x:v>9</x:v>
      </x:c>
      <x:c r="K23" s="152" t="n">
        <x:v>8</x:v>
      </x:c>
      <x:c r="L23" s="152" t="n">
        <x:v>9</x:v>
      </x:c>
      <x:c r="M23" s="152" t="n">
        <x:v>9</x:v>
      </x:c>
      <x:c r="N23" s="152" t="n">
        <x:v>9</x:v>
      </x:c>
      <x:c r="O23" s="152" t="n">
        <x:v>9</x:v>
      </x:c>
      <x:c r="P23" s="152" t="n">
        <x:v>5</x:v>
      </x:c>
      <x:c r="Q23" s="152" t="n">
        <x:v>9</x:v>
      </x:c>
      <x:c r="R23" s="152" t="n">
        <x:v>8.5</x:v>
      </x:c>
      <x:c r="S23" s="152" t="n">
        <x:v>8.5</x:v>
      </x:c>
      <x:c r="T23" s="152" t="n">
        <x:v>7</x:v>
      </x:c>
      <x:c r="U23" s="152" t="n">
        <x:v>8.5</x:v>
      </x:c>
      <x:c r="V23" s="152" t="n">
        <x:v>10</x:v>
      </x:c>
      <x:c r="W23" s="152" t="n">
        <x:v>8.5</x:v>
      </x:c>
      <x:c r="X23" s="153" t="n">
        <x:f>AVERAGE(H23,K23,V23,W23)</x:f>
        <x:v>8.625</x:v>
      </x:c>
      <x:c r="Y23" s="153" t="n">
        <x:f>AVERAGE(I23,J23,K23)</x:f>
        <x:v>9</x:v>
      </x:c>
      <x:c r="Z23" s="153" t="n">
        <x:f>AVERAGE(O23,P23,Q23)</x:f>
        <x:v>7.666666666666667</x:v>
      </x:c>
      <x:c r="AA23" s="153" t="n">
        <x:f>R23*'Weights'!$B$4+L23*'Weights'!$B$5+E23*'Weights'!$B$6+F23*'Weights'!$B$7+D23*'Weights'!$B$8+X23*'Weights'!$B$9+Y23*'Weights'!$B$10+Z23*'Weights'!$B$11+S23*'Weights'!$B$12+G23*'Weights'!$B$13</x:f>
        <x:v>8.855833333333333</x:v>
      </x:c>
      <x:c r="AB23" s="154" t="n">
        <x:f>RANK.EQ(AA23,$AA$2:$AA$37,0)</x:f>
        <x:v>19</x:v>
      </x:c>
    </x:row>
    <x:row r="24">
      <x:c r="A24" s="151" t="n">
        <x:v>23</x:v>
      </x:c>
      <x:c r="B24" s="151" t="str">
        <x:v>Ciência e ambiente</x:v>
      </x:c>
      <x:c r="C24" s="151" t="str">
        <x:v>Geological extremes and natural systems</x:v>
      </x:c>
      <x:c r="D24" s="152" t="n">
        <x:v>8.5</x:v>
      </x:c>
      <x:c r="E24" s="152" t="n">
        <x:v>9</x:v>
      </x:c>
      <x:c r="F24" s="152" t="n">
        <x:v>9</x:v>
      </x:c>
      <x:c r="G24" s="152" t="n">
        <x:v>10</x:v>
      </x:c>
      <x:c r="H24" s="152" t="n">
        <x:v>9</x:v>
      </x:c>
      <x:c r="I24" s="152" t="n">
        <x:v>10</x:v>
      </x:c>
      <x:c r="J24" s="152" t="n">
        <x:v>10</x:v>
      </x:c>
      <x:c r="K24" s="152" t="n">
        <x:v>9</x:v>
      </x:c>
      <x:c r="L24" s="152" t="n">
        <x:v>8</x:v>
      </x:c>
      <x:c r="M24" s="152" t="n">
        <x:v>9</x:v>
      </x:c>
      <x:c r="N24" s="152" t="n">
        <x:v>9</x:v>
      </x:c>
      <x:c r="O24" s="152" t="n">
        <x:v>8</x:v>
      </x:c>
      <x:c r="P24" s="152" t="n">
        <x:v>6</x:v>
      </x:c>
      <x:c r="Q24" s="152" t="n">
        <x:v>8</x:v>
      </x:c>
      <x:c r="R24" s="152" t="n">
        <x:v>9</x:v>
      </x:c>
      <x:c r="S24" s="152" t="n">
        <x:v>8.5</x:v>
      </x:c>
      <x:c r="T24" s="152" t="n">
        <x:v>8</x:v>
      </x:c>
      <x:c r="U24" s="152" t="n">
        <x:v>8.5</x:v>
      </x:c>
      <x:c r="V24" s="152" t="n">
        <x:v>10</x:v>
      </x:c>
      <x:c r="W24" s="152" t="n">
        <x:v>9</x:v>
      </x:c>
      <x:c r="X24" s="153" t="n">
        <x:f>AVERAGE(H24,K24,V24,W24)</x:f>
        <x:v>9.25</x:v>
      </x:c>
      <x:c r="Y24" s="153" t="n">
        <x:f>AVERAGE(I24,J24,K24)</x:f>
        <x:v>9.666666666666666</x:v>
      </x:c>
      <x:c r="Z24" s="153" t="n">
        <x:f>AVERAGE(O24,P24,Q24)</x:f>
        <x:v>7.333333333333333</x:v>
      </x:c>
      <x:c r="AA24" s="153" t="n">
        <x:f>R24*'Weights'!$B$4+L24*'Weights'!$B$5+E24*'Weights'!$B$6+F24*'Weights'!$B$7+D24*'Weights'!$B$8+X24*'Weights'!$B$9+Y24*'Weights'!$B$10+Z24*'Weights'!$B$11+S24*'Weights'!$B$12+G24*'Weights'!$B$13</x:f>
        <x:v>8.760000000000002</x:v>
      </x:c>
      <x:c r="AB24" s="154" t="n">
        <x:f>RANK.EQ(AA24,$AA$2:$AA$37,0)</x:f>
        <x:v>26</x:v>
      </x:c>
    </x:row>
    <x:row r="25">
      <x:c r="A25" s="151" t="n">
        <x:v>24</x:v>
      </x:c>
      <x:c r="B25" s="151" t="str">
        <x:v>Psicologia e comportamento</x:v>
      </x:c>
      <x:c r="C25" s="151" t="str">
        <x:v>Evidence-based decision psychology</x:v>
      </x:c>
      <x:c r="D25" s="152" t="n">
        <x:v>9.5</x:v>
      </x:c>
      <x:c r="E25" s="152" t="n">
        <x:v>9</x:v>
      </x:c>
      <x:c r="F25" s="152" t="n">
        <x:v>9</x:v>
      </x:c>
      <x:c r="G25" s="152" t="n">
        <x:v>10</x:v>
      </x:c>
      <x:c r="H25" s="152" t="n">
        <x:v>9.5</x:v>
      </x:c>
      <x:c r="I25" s="152" t="n">
        <x:v>10</x:v>
      </x:c>
      <x:c r="J25" s="152" t="n">
        <x:v>9</x:v>
      </x:c>
      <x:c r="K25" s="152" t="n">
        <x:v>9</x:v>
      </x:c>
      <x:c r="L25" s="152" t="n">
        <x:v>8</x:v>
      </x:c>
      <x:c r="M25" s="152" t="n">
        <x:v>10</x:v>
      </x:c>
      <x:c r="N25" s="152" t="n">
        <x:v>9.5</x:v>
      </x:c>
      <x:c r="O25" s="152" t="n">
        <x:v>9.5</x:v>
      </x:c>
      <x:c r="P25" s="152" t="n">
        <x:v>9</x:v>
      </x:c>
      <x:c r="Q25" s="152" t="n">
        <x:v>9.5</x:v>
      </x:c>
      <x:c r="R25" s="152" t="n">
        <x:v>8</x:v>
      </x:c>
      <x:c r="S25" s="152" t="n">
        <x:v>9.5</x:v>
      </x:c>
      <x:c r="T25" s="152" t="n">
        <x:v>6.5</x:v>
      </x:c>
      <x:c r="U25" s="152" t="n">
        <x:v>9.5</x:v>
      </x:c>
      <x:c r="V25" s="152" t="n">
        <x:v>10</x:v>
      </x:c>
      <x:c r="W25" s="152" t="n">
        <x:v>8</x:v>
      </x:c>
      <x:c r="X25" s="153" t="n">
        <x:f>AVERAGE(H25,K25,V25,W25)</x:f>
        <x:v>9.125</x:v>
      </x:c>
      <x:c r="Y25" s="153" t="n">
        <x:f>AVERAGE(I25,J25,K25)</x:f>
        <x:v>9.333333333333334</x:v>
      </x:c>
      <x:c r="Z25" s="153" t="n">
        <x:f>AVERAGE(O25,P25,Q25)</x:f>
        <x:v>9.333333333333334</x:v>
      </x:c>
      <x:c r="AA25" s="153" t="n">
        <x:f>R25*'Weights'!$B$4+L25*'Weights'!$B$5+E25*'Weights'!$B$6+F25*'Weights'!$B$7+D25*'Weights'!$B$8+X25*'Weights'!$B$9+Y25*'Weights'!$B$10+Z25*'Weights'!$B$11+S25*'Weights'!$B$12+G25*'Weights'!$B$13</x:f>
        <x:v>8.900833333333335</x:v>
      </x:c>
      <x:c r="AB25" s="154" t="n">
        <x:f>RANK.EQ(AA25,$AA$2:$AA$37,0)</x:f>
        <x:v>17</x:v>
      </x:c>
    </x:row>
    <x:row r="26">
      <x:c r="A26" s="151" t="n">
        <x:v>25</x:v>
      </x:c>
      <x:c r="B26" s="151" t="str">
        <x:v>Carreira e trabalho</x:v>
      </x:c>
      <x:c r="C26" s="151" t="str">
        <x:v>Workplace systems and future of work</x:v>
      </x:c>
      <x:c r="D26" s="152" t="n">
        <x:v>9</x:v>
      </x:c>
      <x:c r="E26" s="152" t="n">
        <x:v>9</x:v>
      </x:c>
      <x:c r="F26" s="152" t="n">
        <x:v>8.5</x:v>
      </x:c>
      <x:c r="G26" s="152" t="n">
        <x:v>10</x:v>
      </x:c>
      <x:c r="H26" s="152" t="n">
        <x:v>9</x:v>
      </x:c>
      <x:c r="I26" s="152" t="n">
        <x:v>9</x:v>
      </x:c>
      <x:c r="J26" s="152" t="n">
        <x:v>8</x:v>
      </x:c>
      <x:c r="K26" s="152" t="n">
        <x:v>9</x:v>
      </x:c>
      <x:c r="L26" s="152" t="n">
        <x:v>8.5</x:v>
      </x:c>
      <x:c r="M26" s="152" t="n">
        <x:v>9.5</x:v>
      </x:c>
      <x:c r="N26" s="152" t="n">
        <x:v>9</x:v>
      </x:c>
      <x:c r="O26" s="152" t="n">
        <x:v>10</x:v>
      </x:c>
      <x:c r="P26" s="152" t="n">
        <x:v>10</x:v>
      </x:c>
      <x:c r="Q26" s="152" t="n">
        <x:v>10</x:v>
      </x:c>
      <x:c r="R26" s="152" t="n">
        <x:v>9</x:v>
      </x:c>
      <x:c r="S26" s="152" t="n">
        <x:v>9.5</x:v>
      </x:c>
      <x:c r="T26" s="152" t="n">
        <x:v>8</x:v>
      </x:c>
      <x:c r="U26" s="152" t="n">
        <x:v>9.5</x:v>
      </x:c>
      <x:c r="V26" s="152" t="n">
        <x:v>10</x:v>
      </x:c>
      <x:c r="W26" s="152" t="n">
        <x:v>9</x:v>
      </x:c>
      <x:c r="X26" s="153" t="n">
        <x:f>AVERAGE(H26,K26,V26,W26)</x:f>
        <x:v>9.25</x:v>
      </x:c>
      <x:c r="Y26" s="153" t="n">
        <x:f>AVERAGE(I26,J26,K26)</x:f>
        <x:v>8.666666666666666</x:v>
      </x:c>
      <x:c r="Z26" s="153" t="n">
        <x:f>AVERAGE(O26,P26,Q26)</x:f>
        <x:v>10</x:v>
      </x:c>
      <x:c r="AA26" s="153" t="n">
        <x:f>R26*'Weights'!$B$4+L26*'Weights'!$B$5+E26*'Weights'!$B$6+F26*'Weights'!$B$7+D26*'Weights'!$B$8+X26*'Weights'!$B$9+Y26*'Weights'!$B$10+Z26*'Weights'!$B$11+S26*'Weights'!$B$12+G26*'Weights'!$B$13</x:f>
        <x:v>9.038333333333334</x:v>
      </x:c>
      <x:c r="AB26" s="154" t="n">
        <x:f>RANK.EQ(AA26,$AA$2:$AA$37,0)</x:f>
        <x:v>11</x:v>
      </x:c>
    </x:row>
    <x:row r="27">
      <x:c r="A27" s="151" t="n">
        <x:v>26</x:v>
      </x:c>
      <x:c r="B27" s="151" t="str">
        <x:v>Produtividade</x:v>
      </x:c>
      <x:c r="C27" s="151" t="str">
        <x:v>Evidence-based productivity experiments</x:v>
      </x:c>
      <x:c r="D27" s="152" t="n">
        <x:v>9.5</x:v>
      </x:c>
      <x:c r="E27" s="152" t="n">
        <x:v>8.5</x:v>
      </x:c>
      <x:c r="F27" s="152" t="n">
        <x:v>8.5</x:v>
      </x:c>
      <x:c r="G27" s="152" t="n">
        <x:v>10</x:v>
      </x:c>
      <x:c r="H27" s="152" t="n">
        <x:v>9</x:v>
      </x:c>
      <x:c r="I27" s="152" t="n">
        <x:v>9</x:v>
      </x:c>
      <x:c r="J27" s="152" t="n">
        <x:v>8</x:v>
      </x:c>
      <x:c r="K27" s="152" t="n">
        <x:v>9</x:v>
      </x:c>
      <x:c r="L27" s="152" t="n">
        <x:v>7.5</x:v>
      </x:c>
      <x:c r="M27" s="152" t="n">
        <x:v>10</x:v>
      </x:c>
      <x:c r="N27" s="152" t="n">
        <x:v>9</x:v>
      </x:c>
      <x:c r="O27" s="152" t="n">
        <x:v>10</x:v>
      </x:c>
      <x:c r="P27" s="152" t="n">
        <x:v>10</x:v>
      </x:c>
      <x:c r="Q27" s="152" t="n">
        <x:v>10</x:v>
      </x:c>
      <x:c r="R27" s="152" t="n">
        <x:v>9</x:v>
      </x:c>
      <x:c r="S27" s="152" t="n">
        <x:v>9.5</x:v>
      </x:c>
      <x:c r="T27" s="152" t="n">
        <x:v>7.5</x:v>
      </x:c>
      <x:c r="U27" s="152" t="n">
        <x:v>9.5</x:v>
      </x:c>
      <x:c r="V27" s="152" t="n">
        <x:v>10</x:v>
      </x:c>
      <x:c r="W27" s="152" t="n">
        <x:v>8</x:v>
      </x:c>
      <x:c r="X27" s="153" t="n">
        <x:f>AVERAGE(H27,K27,V27,W27)</x:f>
        <x:v>9</x:v>
      </x:c>
      <x:c r="Y27" s="153" t="n">
        <x:f>AVERAGE(I27,J27,K27)</x:f>
        <x:v>8.666666666666666</x:v>
      </x:c>
      <x:c r="Z27" s="153" t="n">
        <x:f>AVERAGE(O27,P27,Q27)</x:f>
        <x:v>10</x:v>
      </x:c>
      <x:c r="AA27" s="153" t="n">
        <x:f>R27*'Weights'!$B$4+L27*'Weights'!$B$5+E27*'Weights'!$B$6+F27*'Weights'!$B$7+D27*'Weights'!$B$8+X27*'Weights'!$B$9+Y27*'Weights'!$B$10+Z27*'Weights'!$B$11+S27*'Weights'!$B$12+G27*'Weights'!$B$13</x:f>
        <x:v>8.853333333333333</x:v>
      </x:c>
      <x:c r="AB27" s="154" t="n">
        <x:f>RANK.EQ(AA27,$AA$2:$AA$37,0)</x:f>
        <x:v>20</x:v>
      </x:c>
    </x:row>
    <x:row r="28">
      <x:c r="A28" s="151" t="n">
        <x:v>27</x:v>
      </x:c>
      <x:c r="B28" s="151" t="str">
        <x:v>Economia e negócios</x:v>
      </x:c>
      <x:c r="C28" s="151" t="str">
        <x:v>Economics of everyday industries</x:v>
      </x:c>
      <x:c r="D28" s="152" t="n">
        <x:v>9</x:v>
      </x:c>
      <x:c r="E28" s="152" t="n">
        <x:v>9</x:v>
      </x:c>
      <x:c r="F28" s="152" t="n">
        <x:v>9</x:v>
      </x:c>
      <x:c r="G28" s="152" t="n">
        <x:v>10</x:v>
      </x:c>
      <x:c r="H28" s="152" t="n">
        <x:v>8.5</x:v>
      </x:c>
      <x:c r="I28" s="152" t="n">
        <x:v>9.5</x:v>
      </x:c>
      <x:c r="J28" s="152" t="n">
        <x:v>8</x:v>
      </x:c>
      <x:c r="K28" s="152" t="n">
        <x:v>8.5</x:v>
      </x:c>
      <x:c r="L28" s="152" t="n">
        <x:v>9.5</x:v>
      </x:c>
      <x:c r="M28" s="152" t="n">
        <x:v>9.5</x:v>
      </x:c>
      <x:c r="N28" s="152" t="n">
        <x:v>9.5</x:v>
      </x:c>
      <x:c r="O28" s="152" t="n">
        <x:v>10</x:v>
      </x:c>
      <x:c r="P28" s="152" t="n">
        <x:v>8</x:v>
      </x:c>
      <x:c r="Q28" s="152" t="n">
        <x:v>9.5</x:v>
      </x:c>
      <x:c r="R28" s="152" t="n">
        <x:v>9</x:v>
      </x:c>
      <x:c r="S28" s="152" t="n">
        <x:v>8.5</x:v>
      </x:c>
      <x:c r="T28" s="152" t="n">
        <x:v>8.5</x:v>
      </x:c>
      <x:c r="U28" s="152" t="n">
        <x:v>8.5</x:v>
      </x:c>
      <x:c r="V28" s="152" t="n">
        <x:v>10</x:v>
      </x:c>
      <x:c r="W28" s="152" t="n">
        <x:v>9</x:v>
      </x:c>
      <x:c r="X28" s="153" t="n">
        <x:f>AVERAGE(H28,K28,V28,W28)</x:f>
        <x:v>9</x:v>
      </x:c>
      <x:c r="Y28" s="153" t="n">
        <x:f>AVERAGE(I28,J28,K28)</x:f>
        <x:v>8.666666666666666</x:v>
      </x:c>
      <x:c r="Z28" s="153" t="n">
        <x:f>AVERAGE(O28,P28,Q28)</x:f>
        <x:v>9.166666666666666</x:v>
      </x:c>
      <x:c r="AA28" s="153" t="n">
        <x:f>R28*'Weights'!$B$4+L28*'Weights'!$B$5+E28*'Weights'!$B$6+F28*'Weights'!$B$7+D28*'Weights'!$B$8+X28*'Weights'!$B$9+Y28*'Weights'!$B$10+Z28*'Weights'!$B$11+S28*'Weights'!$B$12+G28*'Weights'!$B$13</x:f>
        <x:v>9.076666666666668</x:v>
      </x:c>
      <x:c r="AB28" s="154" t="n">
        <x:f>RANK.EQ(AA28,$AA$2:$AA$37,0)</x:f>
        <x:v>7</x:v>
      </x:c>
    </x:row>
    <x:row r="29">
      <x:c r="A29" s="151" t="n">
        <x:v>28</x:v>
      </x:c>
      <x:c r="B29" s="151" t="str">
        <x:v>Economia e geopolítica</x:v>
      </x:c>
      <x:c r="C29" s="151" t="str">
        <x:v>Geopolitical infrastructure and trade routes</x:v>
      </x:c>
      <x:c r="D29" s="152" t="n">
        <x:v>9.5</x:v>
      </x:c>
      <x:c r="E29" s="152" t="n">
        <x:v>9.5</x:v>
      </x:c>
      <x:c r="F29" s="152" t="n">
        <x:v>9.5</x:v>
      </x:c>
      <x:c r="G29" s="152" t="n">
        <x:v>10</x:v>
      </x:c>
      <x:c r="H29" s="152" t="n">
        <x:v>8</x:v>
      </x:c>
      <x:c r="I29" s="152" t="n">
        <x:v>10</x:v>
      </x:c>
      <x:c r="J29" s="152" t="n">
        <x:v>9</x:v>
      </x:c>
      <x:c r="K29" s="152" t="n">
        <x:v>7</x:v>
      </x:c>
      <x:c r="L29" s="152" t="n">
        <x:v>9</x:v>
      </x:c>
      <x:c r="M29" s="152" t="n">
        <x:v>10</x:v>
      </x:c>
      <x:c r="N29" s="152" t="n">
        <x:v>9.5</x:v>
      </x:c>
      <x:c r="O29" s="152" t="n">
        <x:v>9</x:v>
      </x:c>
      <x:c r="P29" s="152" t="n">
        <x:v>5</x:v>
      </x:c>
      <x:c r="Q29" s="152" t="n">
        <x:v>9</x:v>
      </x:c>
      <x:c r="R29" s="152" t="n">
        <x:v>6.5</x:v>
      </x:c>
      <x:c r="S29" s="152" t="n">
        <x:v>7</x:v>
      </x:c>
      <x:c r="T29" s="152" t="n">
        <x:v>4.5</x:v>
      </x:c>
      <x:c r="U29" s="152" t="n">
        <x:v>7</x:v>
      </x:c>
      <x:c r="V29" s="152" t="n">
        <x:v>10</x:v>
      </x:c>
      <x:c r="W29" s="152" t="n">
        <x:v>7.5</x:v>
      </x:c>
      <x:c r="X29" s="153" t="n">
        <x:f>AVERAGE(H29,K29,V29,W29)</x:f>
        <x:v>8.125</x:v>
      </x:c>
      <x:c r="Y29" s="153" t="n">
        <x:f>AVERAGE(I29,J29,K29)</x:f>
        <x:v>8.666666666666666</x:v>
      </x:c>
      <x:c r="Z29" s="153" t="n">
        <x:f>AVERAGE(O29,P29,Q29)</x:f>
        <x:v>7.666666666666667</x:v>
      </x:c>
      <x:c r="AA29" s="153" t="n">
        <x:f>R29*'Weights'!$B$4+L29*'Weights'!$B$5+E29*'Weights'!$B$6+F29*'Weights'!$B$7+D29*'Weights'!$B$8+X29*'Weights'!$B$9+Y29*'Weights'!$B$10+Z29*'Weights'!$B$11+S29*'Weights'!$B$12+G29*'Weights'!$B$13</x:f>
        <x:v>8.474166666666667</x:v>
      </x:c>
      <x:c r="AB29" s="154" t="n">
        <x:f>RANK.EQ(AA29,$AA$2:$AA$37,0)</x:f>
        <x:v>30</x:v>
      </x:c>
    </x:row>
    <x:row r="30">
      <x:c r="A30" s="151" t="n">
        <x:v>29</x:v>
      </x:c>
      <x:c r="B30" s="151" t="str">
        <x:v>Aviação</x:v>
      </x:c>
      <x:c r="C30" s="151" t="str">
        <x:v>Aviation systems and incident lessons</x:v>
      </x:c>
      <x:c r="D30" s="152" t="n">
        <x:v>9.5</x:v>
      </x:c>
      <x:c r="E30" s="152" t="n">
        <x:v>9.5</x:v>
      </x:c>
      <x:c r="F30" s="152" t="n">
        <x:v>10</x:v>
      </x:c>
      <x:c r="G30" s="152" t="n">
        <x:v>10</x:v>
      </x:c>
      <x:c r="H30" s="152" t="n">
        <x:v>8</x:v>
      </x:c>
      <x:c r="I30" s="152" t="n">
        <x:v>10</x:v>
      </x:c>
      <x:c r="J30" s="152" t="n">
        <x:v>8</x:v>
      </x:c>
      <x:c r="K30" s="152" t="n">
        <x:v>7</x:v>
      </x:c>
      <x:c r="L30" s="152" t="n">
        <x:v>8</x:v>
      </x:c>
      <x:c r="M30" s="152" t="n">
        <x:v>10</x:v>
      </x:c>
      <x:c r="N30" s="152" t="n">
        <x:v>10</x:v>
      </x:c>
      <x:c r="O30" s="152" t="n">
        <x:v>9</x:v>
      </x:c>
      <x:c r="P30" s="152" t="n">
        <x:v>6</x:v>
      </x:c>
      <x:c r="Q30" s="152" t="n">
        <x:v>9</x:v>
      </x:c>
      <x:c r="R30" s="152" t="n">
        <x:v>6.5</x:v>
      </x:c>
      <x:c r="S30" s="152" t="n">
        <x:v>6.5</x:v>
      </x:c>
      <x:c r="T30" s="152" t="n">
        <x:v>6</x:v>
      </x:c>
      <x:c r="U30" s="152" t="n">
        <x:v>6.5</x:v>
      </x:c>
      <x:c r="V30" s="152" t="n">
        <x:v>10</x:v>
      </x:c>
      <x:c r="W30" s="152" t="n">
        <x:v>8</x:v>
      </x:c>
      <x:c r="X30" s="153" t="n">
        <x:f>AVERAGE(H30,K30,V30,W30)</x:f>
        <x:v>8.25</x:v>
      </x:c>
      <x:c r="Y30" s="153" t="n">
        <x:f>AVERAGE(I30,J30,K30)</x:f>
        <x:v>8.333333333333334</x:v>
      </x:c>
      <x:c r="Z30" s="153" t="n">
        <x:f>AVERAGE(O30,P30,Q30)</x:f>
        <x:v>8</x:v>
      </x:c>
      <x:c r="AA30" s="153" t="n">
        <x:f>R30*'Weights'!$B$4+L30*'Weights'!$B$5+E30*'Weights'!$B$6+F30*'Weights'!$B$7+D30*'Weights'!$B$8+X30*'Weights'!$B$9+Y30*'Weights'!$B$10+Z30*'Weights'!$B$11+S30*'Weights'!$B$12+G30*'Weights'!$B$13</x:f>
        <x:v>8.351666666666667</x:v>
      </x:c>
      <x:c r="AB30" s="154" t="n">
        <x:f>RANK.EQ(AA30,$AA$2:$AA$37,0)</x:f>
        <x:v>35</x:v>
      </x:c>
    </x:row>
    <x:row r="31">
      <x:c r="A31" s="151" t="n">
        <x:v>30</x:v>
      </x:c>
      <x:c r="B31" s="151" t="str">
        <x:v>Transporte e indústria</x:v>
      </x:c>
      <x:c r="C31" s="151" t="str">
        <x:v>Rail, shipping and transport technology</x:v>
      </x:c>
      <x:c r="D31" s="152" t="n">
        <x:v>9</x:v>
      </x:c>
      <x:c r="E31" s="152" t="n">
        <x:v>9</x:v>
      </x:c>
      <x:c r="F31" s="152" t="n">
        <x:v>8.5</x:v>
      </x:c>
      <x:c r="G31" s="152" t="n">
        <x:v>10</x:v>
      </x:c>
      <x:c r="H31" s="152" t="n">
        <x:v>8.5</x:v>
      </x:c>
      <x:c r="I31" s="152" t="n">
        <x:v>10</x:v>
      </x:c>
      <x:c r="J31" s="152" t="n">
        <x:v>9</x:v>
      </x:c>
      <x:c r="K31" s="152" t="n">
        <x:v>8.5</x:v>
      </x:c>
      <x:c r="L31" s="152" t="n">
        <x:v>8</x:v>
      </x:c>
      <x:c r="M31" s="152" t="n">
        <x:v>9</x:v>
      </x:c>
      <x:c r="N31" s="152" t="n">
        <x:v>9</x:v>
      </x:c>
      <x:c r="O31" s="152" t="n">
        <x:v>8.5</x:v>
      </x:c>
      <x:c r="P31" s="152" t="n">
        <x:v>6.5</x:v>
      </x:c>
      <x:c r="Q31" s="152" t="n">
        <x:v>8.5</x:v>
      </x:c>
      <x:c r="R31" s="152" t="n">
        <x:v>9.5</x:v>
      </x:c>
      <x:c r="S31" s="152" t="n">
        <x:v>8.5</x:v>
      </x:c>
      <x:c r="T31" s="152" t="n">
        <x:v>9</x:v>
      </x:c>
      <x:c r="U31" s="152" t="n">
        <x:v>8.5</x:v>
      </x:c>
      <x:c r="V31" s="152" t="n">
        <x:v>10</x:v>
      </x:c>
      <x:c r="W31" s="152" t="n">
        <x:v>9</x:v>
      </x:c>
      <x:c r="X31" s="153" t="n">
        <x:f>AVERAGE(H31,K31,V31,W31)</x:f>
        <x:v>9</x:v>
      </x:c>
      <x:c r="Y31" s="153" t="n">
        <x:f>AVERAGE(I31,J31,K31)</x:f>
        <x:v>9.166666666666666</x:v>
      </x:c>
      <x:c r="Z31" s="153" t="n">
        <x:f>AVERAGE(O31,P31,Q31)</x:f>
        <x:v>7.833333333333333</x:v>
      </x:c>
      <x:c r="AA31" s="153" t="n">
        <x:f>R31*'Weights'!$B$4+L31*'Weights'!$B$5+E31*'Weights'!$B$6+F31*'Weights'!$B$7+D31*'Weights'!$B$8+X31*'Weights'!$B$9+Y31*'Weights'!$B$10+Z31*'Weights'!$B$11+S31*'Weights'!$B$12+G31*'Weights'!$B$13</x:f>
        <x:v>8.81</x:v>
      </x:c>
      <x:c r="AB31" s="154" t="n">
        <x:f>RANK.EQ(AA31,$AA$2:$AA$37,0)</x:f>
        <x:v>25</x:v>
      </x:c>
    </x:row>
    <x:row r="32">
      <x:c r="A32" s="151" t="n">
        <x:v>31</x:v>
      </x:c>
      <x:c r="B32" s="151" t="str">
        <x:v>Esportes</x:v>
      </x:c>
      <x:c r="C32" s="151" t="str">
        <x:v>Sports business and venue economics</x:v>
      </x:c>
      <x:c r="D32" s="152" t="n">
        <x:v>9.5</x:v>
      </x:c>
      <x:c r="E32" s="152" t="n">
        <x:v>9</x:v>
      </x:c>
      <x:c r="F32" s="152" t="n">
        <x:v>9.5</x:v>
      </x:c>
      <x:c r="G32" s="152" t="n">
        <x:v>10</x:v>
      </x:c>
      <x:c r="H32" s="152" t="n">
        <x:v>8</x:v>
      </x:c>
      <x:c r="I32" s="152" t="n">
        <x:v>9</x:v>
      </x:c>
      <x:c r="J32" s="152" t="n">
        <x:v>7</x:v>
      </x:c>
      <x:c r="K32" s="152" t="n">
        <x:v>7</x:v>
      </x:c>
      <x:c r="L32" s="152" t="n">
        <x:v>9</x:v>
      </x:c>
      <x:c r="M32" s="152" t="n">
        <x:v>10</x:v>
      </x:c>
      <x:c r="N32" s="152" t="n">
        <x:v>10</x:v>
      </x:c>
      <x:c r="O32" s="152" t="n">
        <x:v>9.5</x:v>
      </x:c>
      <x:c r="P32" s="152" t="n">
        <x:v>8</x:v>
      </x:c>
      <x:c r="Q32" s="152" t="n">
        <x:v>9.5</x:v>
      </x:c>
      <x:c r="R32" s="152" t="n">
        <x:v>6.5</x:v>
      </x:c>
      <x:c r="S32" s="152" t="n">
        <x:v>4.5</x:v>
      </x:c>
      <x:c r="T32" s="152" t="n">
        <x:v>7</x:v>
      </x:c>
      <x:c r="U32" s="152" t="n">
        <x:v>5.5</x:v>
      </x:c>
      <x:c r="V32" s="152" t="n">
        <x:v>10</x:v>
      </x:c>
      <x:c r="W32" s="152" t="n">
        <x:v>8</x:v>
      </x:c>
      <x:c r="X32" s="153" t="n">
        <x:f>AVERAGE(H32,K32,V32,W32)</x:f>
        <x:v>8.25</x:v>
      </x:c>
      <x:c r="Y32" s="153" t="n">
        <x:f>AVERAGE(I32,J32,K32)</x:f>
        <x:v>7.666666666666667</x:v>
      </x:c>
      <x:c r="Z32" s="153" t="n">
        <x:f>AVERAGE(O32,P32,Q32)</x:f>
        <x:v>9</x:v>
      </x:c>
      <x:c r="AA32" s="153" t="n">
        <x:f>R32*'Weights'!$B$4+L32*'Weights'!$B$5+E32*'Weights'!$B$6+F32*'Weights'!$B$7+D32*'Weights'!$B$8+X32*'Weights'!$B$9+Y32*'Weights'!$B$10+Z32*'Weights'!$B$11+S32*'Weights'!$B$12+G32*'Weights'!$B$13</x:f>
        <x:v>8.278333333333332</x:v>
      </x:c>
      <x:c r="AB32" s="154" t="n">
        <x:f>RANK.EQ(AA32,$AA$2:$AA$37,0)</x:f>
        <x:v>36</x:v>
      </x:c>
    </x:row>
    <x:row r="33">
      <x:c r="A33" s="151" t="n">
        <x:v>32</x:v>
      </x:c>
      <x:c r="B33" s="151" t="str">
        <x:v>Arquitetura e construção</x:v>
      </x:c>
      <x:c r="C33" s="151" t="str">
        <x:v>Architecture and building technology</x:v>
      </x:c>
      <x:c r="D33" s="152" t="n">
        <x:v>8.5</x:v>
      </x:c>
      <x:c r="E33" s="152" t="n">
        <x:v>9</x:v>
      </x:c>
      <x:c r="F33" s="152" t="n">
        <x:v>8.5</x:v>
      </x:c>
      <x:c r="G33" s="152" t="n">
        <x:v>10</x:v>
      </x:c>
      <x:c r="H33" s="152" t="n">
        <x:v>8.5</x:v>
      </x:c>
      <x:c r="I33" s="152" t="n">
        <x:v>10</x:v>
      </x:c>
      <x:c r="J33" s="152" t="n">
        <x:v>9</x:v>
      </x:c>
      <x:c r="K33" s="152" t="n">
        <x:v>8.5</x:v>
      </x:c>
      <x:c r="L33" s="152" t="n">
        <x:v>9</x:v>
      </x:c>
      <x:c r="M33" s="152" t="n">
        <x:v>9</x:v>
      </x:c>
      <x:c r="N33" s="152" t="n">
        <x:v>9</x:v>
      </x:c>
      <x:c r="O33" s="152" t="n">
        <x:v>9.5</x:v>
      </x:c>
      <x:c r="P33" s="152" t="n">
        <x:v>7.5</x:v>
      </x:c>
      <x:c r="Q33" s="152" t="n">
        <x:v>9</x:v>
      </x:c>
      <x:c r="R33" s="152" t="n">
        <x:v>9.5</x:v>
      </x:c>
      <x:c r="S33" s="152" t="n">
        <x:v>8.5</x:v>
      </x:c>
      <x:c r="T33" s="152" t="n">
        <x:v>9</x:v>
      </x:c>
      <x:c r="U33" s="152" t="n">
        <x:v>8.5</x:v>
      </x:c>
      <x:c r="V33" s="152" t="n">
        <x:v>10</x:v>
      </x:c>
      <x:c r="W33" s="152" t="n">
        <x:v>9</x:v>
      </x:c>
      <x:c r="X33" s="153" t="n">
        <x:f>AVERAGE(H33,K33,V33,W33)</x:f>
        <x:v>9</x:v>
      </x:c>
      <x:c r="Y33" s="153" t="n">
        <x:f>AVERAGE(I33,J33,K33)</x:f>
        <x:v>9.166666666666666</x:v>
      </x:c>
      <x:c r="Z33" s="153" t="n">
        <x:f>AVERAGE(O33,P33,Q33)</x:f>
        <x:v>8.666666666666666</x:v>
      </x:c>
      <x:c r="AA33" s="153" t="n">
        <x:f>R33*'Weights'!$B$4+L33*'Weights'!$B$5+E33*'Weights'!$B$6+F33*'Weights'!$B$7+D33*'Weights'!$B$8+X33*'Weights'!$B$9+Y33*'Weights'!$B$10+Z33*'Weights'!$B$11+S33*'Weights'!$B$12+G33*'Weights'!$B$13</x:f>
        <x:v>8.976666666666667</x:v>
      </x:c>
      <x:c r="AB33" s="154" t="n">
        <x:f>RANK.EQ(AA33,$AA$2:$AA$37,0)</x:f>
        <x:v>15</x:v>
      </x:c>
    </x:row>
    <x:row r="34">
      <x:c r="A34" s="151" t="n">
        <x:v>33</x:v>
      </x:c>
      <x:c r="B34" s="151" t="str">
        <x:v>Ciência e indústria</x:v>
      </x:c>
      <x:c r="C34" s="151" t="str">
        <x:v>Food systems and industrial science</x:v>
      </x:c>
      <x:c r="D34" s="152" t="n">
        <x:v>9</x:v>
      </x:c>
      <x:c r="E34" s="152" t="n">
        <x:v>9</x:v>
      </x:c>
      <x:c r="F34" s="152" t="n">
        <x:v>8.5</x:v>
      </x:c>
      <x:c r="G34" s="152" t="n">
        <x:v>10</x:v>
      </x:c>
      <x:c r="H34" s="152" t="n">
        <x:v>9</x:v>
      </x:c>
      <x:c r="I34" s="152" t="n">
        <x:v>9</x:v>
      </x:c>
      <x:c r="J34" s="152" t="n">
        <x:v>9</x:v>
      </x:c>
      <x:c r="K34" s="152" t="n">
        <x:v>8.5</x:v>
      </x:c>
      <x:c r="L34" s="152" t="n">
        <x:v>9</x:v>
      </x:c>
      <x:c r="M34" s="152" t="n">
        <x:v>9.5</x:v>
      </x:c>
      <x:c r="N34" s="152" t="n">
        <x:v>9</x:v>
      </x:c>
      <x:c r="O34" s="152" t="n">
        <x:v>9</x:v>
      </x:c>
      <x:c r="P34" s="152" t="n">
        <x:v>8.5</x:v>
      </x:c>
      <x:c r="Q34" s="152" t="n">
        <x:v>9</x:v>
      </x:c>
      <x:c r="R34" s="152" t="n">
        <x:v>8.5</x:v>
      </x:c>
      <x:c r="S34" s="152" t="n">
        <x:v>8.5</x:v>
      </x:c>
      <x:c r="T34" s="152" t="n">
        <x:v>7.5</x:v>
      </x:c>
      <x:c r="U34" s="152" t="n">
        <x:v>8.5</x:v>
      </x:c>
      <x:c r="V34" s="152" t="n">
        <x:v>10</x:v>
      </x:c>
      <x:c r="W34" s="152" t="n">
        <x:v>9</x:v>
      </x:c>
      <x:c r="X34" s="153" t="n">
        <x:f>AVERAGE(H34,K34,V34,W34)</x:f>
        <x:v>9.125</x:v>
      </x:c>
      <x:c r="Y34" s="153" t="n">
        <x:f>AVERAGE(I34,J34,K34)</x:f>
        <x:v>8.833333333333334</x:v>
      </x:c>
      <x:c r="Z34" s="153" t="n">
        <x:f>AVERAGE(O34,P34,Q34)</x:f>
        <x:v>8.833333333333334</x:v>
      </x:c>
      <x:c r="AA34" s="153" t="n">
        <x:f>R34*'Weights'!$B$4+L34*'Weights'!$B$5+E34*'Weights'!$B$6+F34*'Weights'!$B$7+D34*'Weights'!$B$8+X34*'Weights'!$B$9+Y34*'Weights'!$B$10+Z34*'Weights'!$B$11+S34*'Weights'!$B$12+G34*'Weights'!$B$13</x:f>
        <x:v>8.875833333333334</x:v>
      </x:c>
      <x:c r="AB34" s="154" t="n">
        <x:f>RANK.EQ(AA34,$AA$2:$AA$37,0)</x:f>
        <x:v>18</x:v>
      </x:c>
    </x:row>
    <x:row r="35">
      <x:c r="A35" s="151" t="n">
        <x:v>34</x:v>
      </x:c>
      <x:c r="B35" s="151" t="str">
        <x:v>Educação e explicadores</x:v>
      </x:c>
      <x:c r="C35" s="151" t="str">
        <x:v>Standards, codes and safety systems</x:v>
      </x:c>
      <x:c r="D35" s="152" t="n">
        <x:v>7.5</x:v>
      </x:c>
      <x:c r="E35" s="152" t="n">
        <x:v>9</x:v>
      </x:c>
      <x:c r="F35" s="152" t="n">
        <x:v>8</x:v>
      </x:c>
      <x:c r="G35" s="152" t="n">
        <x:v>10</x:v>
      </x:c>
      <x:c r="H35" s="152" t="n">
        <x:v>9</x:v>
      </x:c>
      <x:c r="I35" s="152" t="n">
        <x:v>10</x:v>
      </x:c>
      <x:c r="J35" s="152" t="n">
        <x:v>8</x:v>
      </x:c>
      <x:c r="K35" s="152" t="n">
        <x:v>9</x:v>
      </x:c>
      <x:c r="L35" s="152" t="n">
        <x:v>9.5</x:v>
      </x:c>
      <x:c r="M35" s="152" t="n">
        <x:v>8.5</x:v>
      </x:c>
      <x:c r="N35" s="152" t="n">
        <x:v>8.5</x:v>
      </x:c>
      <x:c r="O35" s="152" t="n">
        <x:v>9</x:v>
      </x:c>
      <x:c r="P35" s="152" t="n">
        <x:v>6</x:v>
      </x:c>
      <x:c r="Q35" s="152" t="n">
        <x:v>9</x:v>
      </x:c>
      <x:c r="R35" s="152" t="n">
        <x:v>10</x:v>
      </x:c>
      <x:c r="S35" s="152" t="n">
        <x:v>9.5</x:v>
      </x:c>
      <x:c r="T35" s="152" t="n">
        <x:v>9.5</x:v>
      </x:c>
      <x:c r="U35" s="152" t="n">
        <x:v>9.5</x:v>
      </x:c>
      <x:c r="V35" s="152" t="n">
        <x:v>10</x:v>
      </x:c>
      <x:c r="W35" s="152" t="n">
        <x:v>9.5</x:v>
      </x:c>
      <x:c r="X35" s="153" t="n">
        <x:f>AVERAGE(H35,K35,V35,W35)</x:f>
        <x:v>9.375</x:v>
      </x:c>
      <x:c r="Y35" s="153" t="n">
        <x:f>AVERAGE(I35,J35,K35)</x:f>
        <x:v>9</x:v>
      </x:c>
      <x:c r="Z35" s="153" t="n">
        <x:f>AVERAGE(O35,P35,Q35)</x:f>
        <x:v>8</x:v>
      </x:c>
      <x:c r="AA35" s="153" t="n">
        <x:f>R35*'Weights'!$B$4+L35*'Weights'!$B$5+E35*'Weights'!$B$6+F35*'Weights'!$B$7+D35*'Weights'!$B$8+X35*'Weights'!$B$9+Y35*'Weights'!$B$10+Z35*'Weights'!$B$11+S35*'Weights'!$B$12+G35*'Weights'!$B$13</x:f>
        <x:v>9.017499999999998</x:v>
      </x:c>
      <x:c r="AB35" s="154" t="n">
        <x:f>RANK.EQ(AA35,$AA$2:$AA$37,0)</x:f>
        <x:v>12</x:v>
      </x:c>
    </x:row>
    <x:row r="36">
      <x:c r="A36" s="151" t="n">
        <x:v>35</x:v>
      </x:c>
      <x:c r="B36" s="151" t="str">
        <x:v>Ciência e mistérios</x:v>
      </x:c>
      <x:c r="C36" s="151" t="str">
        <x:v>Scientific mysteries solved with evidence</x:v>
      </x:c>
      <x:c r="D36" s="152" t="n">
        <x:v>9.5</x:v>
      </x:c>
      <x:c r="E36" s="152" t="n">
        <x:v>9</x:v>
      </x:c>
      <x:c r="F36" s="152" t="n">
        <x:v>10</x:v>
      </x:c>
      <x:c r="G36" s="152" t="n">
        <x:v>10</x:v>
      </x:c>
      <x:c r="H36" s="152" t="n">
        <x:v>8.5</x:v>
      </x:c>
      <x:c r="I36" s="152" t="n">
        <x:v>10</x:v>
      </x:c>
      <x:c r="J36" s="152" t="n">
        <x:v>9</x:v>
      </x:c>
      <x:c r="K36" s="152" t="n">
        <x:v>8.5</x:v>
      </x:c>
      <x:c r="L36" s="152" t="n">
        <x:v>9</x:v>
      </x:c>
      <x:c r="M36" s="152" t="n">
        <x:v>9.5</x:v>
      </x:c>
      <x:c r="N36" s="152" t="n">
        <x:v>10</x:v>
      </x:c>
      <x:c r="O36" s="152" t="n">
        <x:v>8</x:v>
      </x:c>
      <x:c r="P36" s="152" t="n">
        <x:v>6</x:v>
      </x:c>
      <x:c r="Q36" s="152" t="n">
        <x:v>8</x:v>
      </x:c>
      <x:c r="R36" s="152" t="n">
        <x:v>9</x:v>
      </x:c>
      <x:c r="S36" s="152" t="n">
        <x:v>8.5</x:v>
      </x:c>
      <x:c r="T36" s="152" t="n">
        <x:v>8.5</x:v>
      </x:c>
      <x:c r="U36" s="152" t="n">
        <x:v>8.5</x:v>
      </x:c>
      <x:c r="V36" s="152" t="n">
        <x:v>10</x:v>
      </x:c>
      <x:c r="W36" s="152" t="n">
        <x:v>9</x:v>
      </x:c>
      <x:c r="X36" s="153" t="n">
        <x:f>AVERAGE(H36,K36,V36,W36)</x:f>
        <x:v>9</x:v>
      </x:c>
      <x:c r="Y36" s="153" t="n">
        <x:f>AVERAGE(I36,J36,K36)</x:f>
        <x:v>9.166666666666666</x:v>
      </x:c>
      <x:c r="Z36" s="153" t="n">
        <x:f>AVERAGE(O36,P36,Q36)</x:f>
        <x:v>7.333333333333333</x:v>
      </x:c>
      <x:c r="AA36" s="153" t="n">
        <x:f>R36*'Weights'!$B$4+L36*'Weights'!$B$5+E36*'Weights'!$B$6+F36*'Weights'!$B$7+D36*'Weights'!$B$8+X36*'Weights'!$B$9+Y36*'Weights'!$B$10+Z36*'Weights'!$B$11+S36*'Weights'!$B$12+G36*'Weights'!$B$13</x:f>
        <x:v>9.045</x:v>
      </x:c>
      <x:c r="AB36" s="154" t="n">
        <x:f>RANK.EQ(AA36,$AA$2:$AA$37,0)</x:f>
        <x:v>9</x:v>
      </x:c>
    </x:row>
    <x:row r="37">
      <x:c r="A37" s="155" t="n">
        <x:v>36</x:v>
      </x:c>
      <x:c r="B37" s="155" t="str">
        <x:v>Tecnologia e história</x:v>
      </x:c>
      <x:c r="C37" s="155" t="str">
        <x:v>Failed products and technology dead ends</x:v>
      </x:c>
      <x:c r="D37" s="156" t="n">
        <x:v>9</x:v>
      </x:c>
      <x:c r="E37" s="156" t="n">
        <x:v>9</x:v>
      </x:c>
      <x:c r="F37" s="156" t="n">
        <x:v>9.5</x:v>
      </x:c>
      <x:c r="G37" s="156" t="n">
        <x:v>10</x:v>
      </x:c>
      <x:c r="H37" s="156" t="n">
        <x:v>8.5</x:v>
      </x:c>
      <x:c r="I37" s="156" t="n">
        <x:v>9.5</x:v>
      </x:c>
      <x:c r="J37" s="156" t="n">
        <x:v>8</x:v>
      </x:c>
      <x:c r="K37" s="156" t="n">
        <x:v>8</x:v>
      </x:c>
      <x:c r="L37" s="156" t="n">
        <x:v>9.5</x:v>
      </x:c>
      <x:c r="M37" s="156" t="n">
        <x:v>9.5</x:v>
      </x:c>
      <x:c r="N37" s="156" t="n">
        <x:v>9.5</x:v>
      </x:c>
      <x:c r="O37" s="156" t="n">
        <x:v>9.5</x:v>
      </x:c>
      <x:c r="P37" s="156" t="n">
        <x:v>8.5</x:v>
      </x:c>
      <x:c r="Q37" s="156" t="n">
        <x:v>9.5</x:v>
      </x:c>
      <x:c r="R37" s="156" t="n">
        <x:v>8.5</x:v>
      </x:c>
      <x:c r="S37" s="156" t="n">
        <x:v>7</x:v>
      </x:c>
      <x:c r="T37" s="156" t="n">
        <x:v>8.5</x:v>
      </x:c>
      <x:c r="U37" s="156" t="n">
        <x:v>7.5</x:v>
      </x:c>
      <x:c r="V37" s="156" t="n">
        <x:v>10</x:v>
      </x:c>
      <x:c r="W37" s="156" t="n">
        <x:v>9</x:v>
      </x:c>
      <x:c r="X37" s="157" t="n">
        <x:f>AVERAGE(H37,K37,V37,W37)</x:f>
        <x:v>8.875</x:v>
      </x:c>
      <x:c r="Y37" s="157" t="n">
        <x:f>AVERAGE(I37,J37,K37)</x:f>
        <x:v>8.5</x:v>
      </x:c>
      <x:c r="Z37" s="157" t="n">
        <x:f>AVERAGE(O37,P37,Q37)</x:f>
        <x:v>9.166666666666666</x:v>
      </x:c>
      <x:c r="AA37" s="157" t="n">
        <x:f>R37*'Weights'!$B$4+L37*'Weights'!$B$5+E37*'Weights'!$B$6+F37*'Weights'!$B$7+D37*'Weights'!$B$8+X37*'Weights'!$B$9+Y37*'Weights'!$B$10+Z37*'Weights'!$B$11+S37*'Weights'!$B$12+G37*'Weights'!$B$13</x:f>
        <x:v>8.920833333333334</x:v>
      </x:c>
      <x:c r="AB37" s="158" t="n">
        <x:f>RANK.EQ(AA37,$AA$2:$AA$37,0)</x:f>
        <x:v>16</x:v>
      </x:c>
    </x:row>
  </x:sheetData>
  <x:conditionalFormatting sqref="D2:AA3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5f38dcbe1c9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10" max="10" width="12" hidden="0" customWidth="1"/>
    <x:col min="11" max="11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4" max="24" width="12" hidden="0" customWidth="1"/>
    <x:col min="25" max="25" width="12" hidden="0" customWidth="1"/>
    <x:col min="26" max="26" width="12" hidden="0" customWidth="1"/>
    <x:col min="30" max="30" width="12" hidden="0" customWidth="1"/>
    <x:col min="31" max="31" width="12" hidden="0" customWidth="1"/>
    <x:col min="2" max="2" width="25" hidden="0" customWidth="1"/>
    <x:col min="3" max="3" width="25" hidden="0" customWidth="1"/>
    <x:col min="4" max="4" width="34" hidden="0" customWidth="1"/>
    <x:col min="5" max="5" width="34" hidden="0" customWidth="1"/>
    <x:col min="6" max="6" width="42" hidden="0" customWidth="1"/>
    <x:col min="7" max="7" width="38" hidden="0" customWidth="1"/>
    <x:col min="12" max="12" width="25" hidden="0" customWidth="1"/>
    <x:col min="13" max="13" width="25" hidden="0" customWidth="1"/>
    <x:col min="23" max="23" width="25" hidden="0" customWidth="1"/>
    <x:col min="27" max="27" width="40" hidden="0" customWidth="1"/>
    <x:col min="28" max="28" width="40" hidden="0" customWidth="1"/>
    <x:col min="29" max="29" width="40" hidden="0" customWidth="1"/>
  </x:cols>
  <x:sheetData>
    <x:row r="1" ht="48" customHeight="1">
      <x:c r="A1" s="16" t="str">
        <x:v>ID</x:v>
      </x:c>
      <x:c r="B1" s="16" t="str">
        <x:v>Category</x:v>
      </x:c>
      <x:c r="C1" s="16" t="str">
        <x:v>Niche</x:v>
      </x:c>
      <x:c r="D1" s="16" t="str">
        <x:v>Target audience</x:v>
      </x:c>
      <x:c r="E1" s="16" t="str">
        <x:v>Audience problem/desire</x:v>
      </x:c>
      <x:c r="F1" s="16" t="str">
        <x:v>Example topics (English)</x:v>
      </x:c>
      <x:c r="G1" s="16" t="str">
        <x:v>Best format</x:v>
      </x:c>
      <x:c r="H1" s="16" t="str">
        <x:v>Recommended duration</x:v>
      </x:c>
      <x:c r="I1" s="16" t="str">
        <x:v>Possible frequency</x:v>
      </x:c>
      <x:c r="J1" s="16" t="str">
        <x:v>Motion design fit</x:v>
      </x:c>
      <x:c r="K1" s="16" t="str">
        <x:v>Generative video fit</x:v>
      </x:c>
      <x:c r="L1" s="16" t="str">
        <x:v>Need for real footage</x:v>
      </x:c>
      <x:c r="M1" s="16" t="str">
        <x:v>Automation potential</x:v>
      </x:c>
      <x:c r="N1" s="16" t="str">
        <x:v>Competition</x:v>
      </x:c>
      <x:c r="O1" s="16" t="str">
        <x:v>Retention potential</x:v>
      </x:c>
      <x:c r="P1" s="16" t="str">
        <x:v>Monetization potential</x:v>
      </x:c>
      <x:c r="Q1" s="16" t="str">
        <x:v>Sponsor potential</x:v>
      </x:c>
      <x:c r="R1" s="16" t="str">
        <x:v>Affiliate potential</x:v>
      </x:c>
      <x:c r="S1" s="16" t="str">
        <x:v>Copyright risk</x:v>
      </x:c>
      <x:c r="T1" s="16" t="str">
        <x:v>Policy risk</x:v>
      </x:c>
      <x:c r="U1" s="16" t="str">
        <x:v>Misinformation risk</x:v>
      </x:c>
      <x:c r="V1" s="16" t="str">
        <x:v>Operational difficulty</x:v>
      </x:c>
      <x:c r="W1" s="16" t="str">
        <x:v>Estimated active human hours</x:v>
      </x:c>
      <x:c r="X1" s="16" t="str">
        <x:v>Scalability 0–10</x:v>
      </x:c>
      <x:c r="Y1" s="16" t="str">
        <x:v>Differentiation 0–10</x:v>
      </x:c>
      <x:c r="Z1" s="16" t="str">
        <x:v>Monetization safety 0–10</x:v>
      </x:c>
      <x:c r="AA1" s="16" t="str">
        <x:v>Editorial angle</x:v>
      </x:c>
      <x:c r="AB1" s="16" t="str">
        <x:v>Authority mechanism</x:v>
      </x:c>
      <x:c r="AC1" s="16" t="str">
        <x:v>Primary risk</x:v>
      </x:c>
      <x:c r="AD1" s="16" t="str">
        <x:v>Score</x:v>
      </x:c>
      <x:c r="AE1" s="16" t="str">
        <x:v>Rank</x:v>
      </x:c>
    </x:row>
    <x:row r="2">
      <x:c r="A2" s="159" t="n">
        <x:v>1</x:v>
      </x:c>
      <x:c r="B2" s="159" t="str">
        <x:v>Infraestrutura e megaprojetos</x:v>
      </x:c>
      <x:c r="C2" s="159" t="str">
        <x:v>Invisible infrastructure systems</x:v>
      </x:c>
      <x:c r="D2" s="159" t="str">
        <x:v>Curious adults, engineers, students and policy-minded viewers</x:v>
      </x:c>
      <x:c r="E2" s="159" t="str">
        <x:v>Understand the hidden systems that keep daily life running</x:v>
      </x:c>
      <x:c r="F2" s="159" t="str">
        <x:v>Why Cities Never Run Out of Water • What Happens When a Power Grid Loses Frequency • The Hidden Network Beneath Every Airport</x:v>
      </x:c>
      <x:c r="G2" s="159" t="str">
        <x:v>Narrated systems documentary with maps, diagrams and causal chains</x:v>
      </x:c>
      <x:c r="H2" s="159" t="str">
        <x:v>14–24 min</x:v>
      </x:c>
      <x:c r="I2" s="159" t="str">
        <x:v>2–3/month</x:v>
      </x:c>
      <x:c r="J2" s="159" t="n">
        <x:v>10</x:v>
      </x:c>
      <x:c r="K2" s="159" t="n">
        <x:v>8</x:v>
      </x:c>
      <x:c r="L2" s="159" t="str">
        <x:v>Low; licensed/public-domain establishing shots only</x:v>
      </x:c>
      <x:c r="M2" s="159" t="n">
        <x:v>8</x:v>
      </x:c>
      <x:c r="N2" s="159" t="str">
        <x:v>High</x:v>
      </x:c>
      <x:c r="O2" s="159" t="n">
        <x:v>9</x:v>
      </x:c>
      <x:c r="P2" s="159" t="str">
        <x:v>High</x:v>
      </x:c>
      <x:c r="Q2" s="159" t="str">
        <x:v>B2B engineering, software, education, energy</x:v>
      </x:c>
      <x:c r="R2" s="159" t="str">
        <x:v>Medium: books, courses, tools</x:v>
      </x:c>
      <x:c r="S2" s="159" t="str">
        <x:v>Low</x:v>
      </x:c>
      <x:c r="T2" s="159" t="str">
        <x:v>Low</x:v>
      </x:c>
      <x:c r="U2" s="159" t="str">
        <x:v>Low</x:v>
      </x:c>
      <x:c r="V2" s="159" t="str">
        <x:v>Medium</x:v>
      </x:c>
      <x:c r="W2" s="159" t="str">
        <x:v>18–32 h</x:v>
      </x:c>
      <x:c r="X2" s="160" t="n">
        <x:v>9</x:v>
      </x:c>
      <x:c r="Y2" s="160" t="n">
        <x:v>9.5</x:v>
      </x:c>
      <x:c r="Z2" s="160" t="n">
        <x:v>9.5</x:v>
      </x:c>
      <x:c r="AA2" s="159" t="str">
        <x:v>Every episode reveals one invisible system through inputs, bottlenecks, failure modes and trade-offs.</x:v>
      </x:c>
      <x:c r="AB2" s="159" t="str">
        <x:v>Source packs built from agencies, standards bodies and engineering papers; recurring methodology on screen.</x:v>
      </x:c>
      <x:c r="AC2" s="159" t="str">
        <x:v>Outdated local rules or oversimplified engineering claims</x:v>
      </x:c>
      <x:c r="AD2" s="161" t="n">
        <x:f>'Matrix'!AA2</x:f>
        <x:v>9.076666666666668</x:v>
      </x:c>
      <x:c r="AE2" s="159" t="n">
        <x:f>'Matrix'!AB2</x:f>
        <x:v>7</x:v>
      </x:c>
    </x:row>
    <x:row r="3">
      <x:c r="A3" s="162" t="n">
        <x:v>2</x:v>
      </x:c>
      <x:c r="B3" s="162" t="str">
        <x:v>Ciência e engenharia</x:v>
      </x:c>
      <x:c r="C3" s="162" t="str">
        <x:v>Engineering failures and forensic lessons</x:v>
      </x:c>
      <x:c r="D3" s="162" t="str">
        <x:v>Engineering-minded adults and documentary viewers</x:v>
      </x:c>
      <x:c r="E3" s="162" t="str">
        <x:v>Learn why complex systems fail without tragedy exploitation</x:v>
      </x:c>
      <x:c r="F3" s="162" t="str">
        <x:v>The Bolt That Changed Bridge Inspection • How Redundancy Failed at a Data Center • Why Small Design Assumptions Become Big Failures</x:v>
      </x:c>
      <x:c r="G3" s="162" t="str">
        <x:v>Forensic timeline + fault tree + lessons learned</x:v>
      </x:c>
      <x:c r="H3" s="162" t="str">
        <x:v>16–28 min</x:v>
      </x:c>
      <x:c r="I3" s="162" t="str">
        <x:v>2/month</x:v>
      </x:c>
      <x:c r="J3" s="162" t="n">
        <x:v>10</x:v>
      </x:c>
      <x:c r="K3" s="162" t="n">
        <x:v>7</x:v>
      </x:c>
      <x:c r="L3" s="162" t="str">
        <x:v>Medium for incident context; diagrams can carry the story</x:v>
      </x:c>
      <x:c r="M3" s="162" t="n">
        <x:v>7.5</x:v>
      </x:c>
      <x:c r="N3" s="162" t="str">
        <x:v>High</x:v>
      </x:c>
      <x:c r="O3" s="162" t="n">
        <x:v>9</x:v>
      </x:c>
      <x:c r="P3" s="162" t="str">
        <x:v>High</x:v>
      </x:c>
      <x:c r="Q3" s="162" t="str">
        <x:v>Engineering software, education, insurance, industrial tech</x:v>
      </x:c>
      <x:c r="R3" s="162" t="str">
        <x:v>Low–medium</x:v>
      </x:c>
      <x:c r="S3" s="162" t="str">
        <x:v>Medium</x:v>
      </x:c>
      <x:c r="T3" s="162" t="str">
        <x:v>Medium–high for fatal events</x:v>
      </x:c>
      <x:c r="U3" s="162" t="str">
        <x:v>Medium</x:v>
      </x:c>
      <x:c r="V3" s="162" t="str">
        <x:v>High</x:v>
      </x:c>
      <x:c r="W3" s="162" t="str">
        <x:v>24–40 h</x:v>
      </x:c>
      <x:c r="X3" s="163" t="n">
        <x:v>8.375</x:v>
      </x:c>
      <x:c r="Y3" s="163" t="n">
        <x:v>9</x:v>
      </x:c>
      <x:c r="Z3" s="163" t="n">
        <x:v>7.5</x:v>
      </x:c>
      <x:c r="AA3" s="162" t="str">
        <x:v>Focus on mechanisms and institutional learning, never spectacle or blame-first narration.</x:v>
      </x:c>
      <x:c r="AB3" s="162" t="str">
        <x:v>Use official investigation reports and show uncertainty, competing hypotheses and later corrections.</x:v>
      </x:c>
      <x:c r="AC3" s="162" t="str">
        <x:v>Sensitive-event ad limits, defamation and overclaiming causation</x:v>
      </x:c>
      <x:c r="AD3" s="164" t="n">
        <x:f>'Matrix'!AA3</x:f>
        <x:v>8.474166666666665</x:v>
      </x:c>
      <x:c r="AE3" s="162" t="n">
        <x:f>'Matrix'!AB3</x:f>
        <x:v>31</x:v>
      </x:c>
    </x:row>
    <x:row r="4">
      <x:c r="A4" s="162" t="n">
        <x:v>3</x:v>
      </x:c>
      <x:c r="B4" s="162" t="str">
        <x:v>Infraestrutura e megaprojetos</x:v>
      </x:c>
      <x:c r="C4" s="162" t="str">
        <x:v>Megaprojects under the hood</x:v>
      </x:c>
      <x:c r="D4" s="162" t="str">
        <x:v>Infrastructure fans, investors and globally curious viewers</x:v>
      </x:c>
      <x:c r="E4" s="162" t="str">
        <x:v>See how giant projects actually work and why they overrun</x:v>
      </x:c>
      <x:c r="F4" s="162" t="str">
        <x:v>Inside the World's Most Complicated Tunnel • Why Mega-Airports Need Their Own Cities • The Economics of a Floating Wind Farm</x:v>
      </x:c>
      <x:c r="G4" s="162" t="str">
        <x:v>Project anatomy: purpose, engineering, money, timeline, risks</x:v>
      </x:c>
      <x:c r="H4" s="162" t="str">
        <x:v>14–26 min</x:v>
      </x:c>
      <x:c r="I4" s="162" t="str">
        <x:v>2–3/month</x:v>
      </x:c>
      <x:c r="J4" s="162" t="n">
        <x:v>9</x:v>
      </x:c>
      <x:c r="K4" s="162" t="n">
        <x:v>9</x:v>
      </x:c>
      <x:c r="L4" s="162" t="str">
        <x:v>Medium; project footage improves credibility</x:v>
      </x:c>
      <x:c r="M4" s="162" t="n">
        <x:v>8</x:v>
      </x:c>
      <x:c r="N4" s="162" t="str">
        <x:v>High</x:v>
      </x:c>
      <x:c r="O4" s="162" t="n">
        <x:v>8.5</x:v>
      </x:c>
      <x:c r="P4" s="162" t="str">
        <x:v>High</x:v>
      </x:c>
      <x:c r="Q4" s="162" t="str">
        <x:v>Construction tech, project software, finance, education</x:v>
      </x:c>
      <x:c r="R4" s="162" t="str">
        <x:v>Low–medium</x:v>
      </x:c>
      <x:c r="S4" s="162" t="str">
        <x:v>Medium</x:v>
      </x:c>
      <x:c r="T4" s="162" t="str">
        <x:v>Low–medium</x:v>
      </x:c>
      <x:c r="U4" s="162" t="str">
        <x:v>Medium</x:v>
      </x:c>
      <x:c r="V4" s="162" t="str">
        <x:v>High</x:v>
      </x:c>
      <x:c r="W4" s="162" t="str">
        <x:v>20–36 h</x:v>
      </x:c>
      <x:c r="X4" s="163" t="n">
        <x:v>8.625</x:v>
      </x:c>
      <x:c r="Y4" s="163" t="n">
        <x:v>8</x:v>
      </x:c>
      <x:c r="Z4" s="163" t="n">
        <x:v>8.5</x:v>
      </x:c>
      <x:c r="AA4" s="162" t="str">
        <x:v>Explain the operating logic and trade-offs, not just scale and price tags.</x:v>
      </x:c>
      <x:c r="AB4" s="162" t="str">
        <x:v>Cite project owners, environmental reviews, audits and independent engineering sources.</x:v>
      </x:c>
      <x:c r="AC4" s="162" t="str">
        <x:v>Promotional framing, disputed cost claims and copyrighted broadcaster footage</x:v>
      </x:c>
      <x:c r="AD4" s="164" t="n">
        <x:f>'Matrix'!AA4</x:f>
        <x:v>8.545833333333334</x:v>
      </x:c>
      <x:c r="AE4" s="162" t="n">
        <x:f>'Matrix'!AB4</x:f>
        <x:v>28</x:v>
      </x:c>
    </x:row>
    <x:row r="5">
      <x:c r="A5" s="162" t="n">
        <x:v>4</x:v>
      </x:c>
      <x:c r="B5" s="162" t="str">
        <x:v>Transporte e cidades</x:v>
      </x:c>
      <x:c r="C5" s="162" t="str">
        <x:v>Urban mobility and city systems</x:v>
      </x:c>
      <x:c r="D5" s="162" t="str">
        <x:v>Urbanists, commuters, students and civic audiences</x:v>
      </x:c>
      <x:c r="E5" s="162" t="str">
        <x:v>Understand why cities move well or badly</x:v>
      </x:c>
      <x:c r="F5" s="162" t="str">
        <x:v>Why Bus Lanes Beat Bigger Roads • The Geometry Behind a Useful Metro • How Curb Space Became a City Battleground</x:v>
      </x:c>
      <x:c r="G5" s="162" t="str">
        <x:v>Map-led comparative explainer</x:v>
      </x:c>
      <x:c r="H5" s="162" t="str">
        <x:v>12–22 min</x:v>
      </x:c>
      <x:c r="I5" s="162" t="str">
        <x:v>3/month</x:v>
      </x:c>
      <x:c r="J5" s="162" t="n">
        <x:v>10</x:v>
      </x:c>
      <x:c r="K5" s="162" t="n">
        <x:v>8</x:v>
      </x:c>
      <x:c r="L5" s="162" t="str">
        <x:v>Low–medium</x:v>
      </x:c>
      <x:c r="M5" s="162" t="n">
        <x:v>8.5</x:v>
      </x:c>
      <x:c r="N5" s="162" t="str">
        <x:v>High</x:v>
      </x:c>
      <x:c r="O5" s="162" t="n">
        <x:v>8.5</x:v>
      </x:c>
      <x:c r="P5" s="162" t="str">
        <x:v>High</x:v>
      </x:c>
      <x:c r="Q5" s="162" t="str">
        <x:v>Mobility tech, mapping, education, real estate software</x:v>
      </x:c>
      <x:c r="R5" s="162" t="str">
        <x:v>Medium</x:v>
      </x:c>
      <x:c r="S5" s="162" t="str">
        <x:v>Low</x:v>
      </x:c>
      <x:c r="T5" s="162" t="str">
        <x:v>Medium when policy becomes partisan</x:v>
      </x:c>
      <x:c r="U5" s="162" t="str">
        <x:v>Medium</x:v>
      </x:c>
      <x:c r="V5" s="162" t="str">
        <x:v>Medium</x:v>
      </x:c>
      <x:c r="W5" s="162" t="str">
        <x:v>16–28 h</x:v>
      </x:c>
      <x:c r="X5" s="163" t="n">
        <x:v>9.125</x:v>
      </x:c>
      <x:c r="Y5" s="163" t="n">
        <x:v>9</x:v>
      </x:c>
      <x:c r="Z5" s="163" t="n">
        <x:v>9</x:v>
      </x:c>
      <x:c r="AA5" s="162" t="str">
        <x:v>Compare design choices with measurable outcomes and local context rather than ideology.</x:v>
      </x:c>
      <x:c r="AB5" s="162" t="str">
        <x:v>Use transport agency data, maps, timetables and academic literature; publish assumptions.</x:v>
      </x:c>
      <x:c r="AC5" s="162" t="str">
        <x:v>Cherry-picked city comparisons and politicized framing</x:v>
      </x:c>
      <x:c r="AD5" s="164" t="n">
        <x:f>'Matrix'!AA5</x:f>
        <x:v>8.842500000000001</x:v>
      </x:c>
      <x:c r="AE5" s="162" t="n">
        <x:f>'Matrix'!AB5</x:f>
        <x:v>21</x:v>
      </x:c>
    </x:row>
    <x:row r="6">
      <x:c r="A6" s="162" t="n">
        <x:v>5</x:v>
      </x:c>
      <x:c r="B6" s="162" t="str">
        <x:v>Transporte e indústria</x:v>
      </x:c>
      <x:c r="C6" s="162" t="str">
        <x:v>Supply chains and industrial logistics</x:v>
      </x:c>
      <x:c r="D6" s="162" t="str">
        <x:v>Business viewers, operators and globally curious adults</x:v>
      </x:c>
      <x:c r="E6" s="162" t="str">
        <x:v>Understand how products and commodities reach them</x:v>
      </x:c>
      <x:c r="F6" s="162" t="str">
        <x:v>How a Single Port Shapes an Entire Economy • The Cold Chain Behind a Blueberry • Why Empty Containers Travel the World</x:v>
      </x:c>
      <x:c r="G6" s="162" t="str">
        <x:v>Journey-of-an-object documentary + network maps</x:v>
      </x:c>
      <x:c r="H6" s="162" t="str">
        <x:v>14–24 min</x:v>
      </x:c>
      <x:c r="I6" s="162" t="str">
        <x:v>3/month</x:v>
      </x:c>
      <x:c r="J6" s="162" t="n">
        <x:v>10</x:v>
      </x:c>
      <x:c r="K6" s="162" t="n">
        <x:v>8</x:v>
      </x:c>
      <x:c r="L6" s="162" t="str">
        <x:v>Low–medium</x:v>
      </x:c>
      <x:c r="M6" s="162" t="n">
        <x:v>8.5</x:v>
      </x:c>
      <x:c r="N6" s="162" t="str">
        <x:v>High</x:v>
      </x:c>
      <x:c r="O6" s="162" t="n">
        <x:v>9</x:v>
      </x:c>
      <x:c r="P6" s="162" t="str">
        <x:v>High</x:v>
      </x:c>
      <x:c r="Q6" s="162" t="str">
        <x:v>Logistics, SaaS, freight, trade, business education</x:v>
      </x:c>
      <x:c r="R6" s="162" t="str">
        <x:v>Medium</x:v>
      </x:c>
      <x:c r="S6" s="162" t="str">
        <x:v>Low</x:v>
      </x:c>
      <x:c r="T6" s="162" t="str">
        <x:v>Medium for sanctions/trade disputes</x:v>
      </x:c>
      <x:c r="U6" s="162" t="str">
        <x:v>Medium</x:v>
      </x:c>
      <x:c r="V6" s="162" t="str">
        <x:v>Medium</x:v>
      </x:c>
      <x:c r="W6" s="162" t="str">
        <x:v>18–30 h</x:v>
      </x:c>
      <x:c r="X6" s="163" t="n">
        <x:v>9.125</x:v>
      </x:c>
      <x:c r="Y6" s="163" t="n">
        <x:v>9</x:v>
      </x:c>
      <x:c r="Z6" s="163" t="n">
        <x:v>9</x:v>
      </x:c>
      <x:c r="AA6" s="162" t="str">
        <x:v>Follow one object through a network, exposing constraints, incentives and fragility.</x:v>
      </x:c>
      <x:c r="AB6" s="162" t="str">
        <x:v>Triangulate customs data, company filings, port authorities and technical logistics sources.</x:v>
      </x:c>
      <x:c r="AC6" s="162" t="str">
        <x:v>Current trade data changes quickly; geopolitical spillover</x:v>
      </x:c>
      <x:c r="AD6" s="164" t="n">
        <x:f>'Matrix'!AA6</x:f>
        <x:v>9.0425</x:v>
      </x:c>
      <x:c r="AE6" s="162" t="n">
        <x:f>'Matrix'!AB6</x:f>
        <x:v>10</x:v>
      </x:c>
    </x:row>
    <x:row r="7">
      <x:c r="A7" s="162" t="n">
        <x:v>6</x:v>
      </x:c>
      <x:c r="B7" s="162" t="str">
        <x:v>Negócios e empresas</x:v>
      </x:c>
      <x:c r="C7" s="162" t="str">
        <x:v>Business models and competitive strategy</x:v>
      </x:c>
      <x:c r="D7" s="162" t="str">
        <x:v>Managers, founders, investors and business-curious adults</x:v>
      </x:c>
      <x:c r="E7" s="162" t="str">
        <x:v>Understand how companies make money and build moats</x:v>
      </x:c>
      <x:c r="F7" s="162" t="str">
        <x:v>Why Costco's Real Product Is Trust • The Hidden Economics of Airline Loyalty • How Adobe Changed What Software Means</x:v>
      </x:c>
      <x:c r="G7" s="162" t="str">
        <x:v>Case study with value-chain and unit-economics diagrams</x:v>
      </x:c>
      <x:c r="H7" s="162" t="str">
        <x:v>16–30 min</x:v>
      </x:c>
      <x:c r="I7" s="162" t="str">
        <x:v>2–3/month</x:v>
      </x:c>
      <x:c r="J7" s="162" t="n">
        <x:v>9</x:v>
      </x:c>
      <x:c r="K7" s="162" t="n">
        <x:v>7</x:v>
      </x:c>
      <x:c r="L7" s="162" t="str">
        <x:v>Low; product imagery can be licensed or recreated</x:v>
      </x:c>
      <x:c r="M7" s="162" t="n">
        <x:v>8.5</x:v>
      </x:c>
      <x:c r="N7" s="162" t="str">
        <x:v>High</x:v>
      </x:c>
      <x:c r="O7" s="162" t="n">
        <x:v>9.5</x:v>
      </x:c>
      <x:c r="P7" s="162" t="str">
        <x:v>Very high</x:v>
      </x:c>
      <x:c r="Q7" s="162" t="str">
        <x:v>B2B software, fintech, education, productivity</x:v>
      </x:c>
      <x:c r="R7" s="162" t="str">
        <x:v>High</x:v>
      </x:c>
      <x:c r="S7" s="162" t="str">
        <x:v>Low–medium for brand assets</x:v>
      </x:c>
      <x:c r="T7" s="162" t="str">
        <x:v>Low–medium</x:v>
      </x:c>
      <x:c r="U7" s="162" t="str">
        <x:v>Medium</x:v>
      </x:c>
      <x:c r="V7" s="162" t="str">
        <x:v>High</x:v>
      </x:c>
      <x:c r="W7" s="162" t="str">
        <x:v>20–34 h</x:v>
      </x:c>
      <x:c r="X7" s="163" t="n">
        <x:v>9</x:v>
      </x:c>
      <x:c r="Y7" s="163" t="n">
        <x:v>9</x:v>
      </x:c>
      <x:c r="Z7" s="163" t="n">
        <x:v>9</x:v>
      </x:c>
      <x:c r="AA7" s="162" t="str">
        <x:v>Reverse-engineer the machine behind the brand: incentives, economics, operations and vulnerabilities.</x:v>
      </x:c>
      <x:c r="AB7" s="162" t="str">
        <x:v>Use filings, earnings calls, regulatory documents and original comparative models.</x:v>
      </x:c>
      <x:c r="AC7" s="162" t="str">
        <x:v>Treating estimates as facts; trademark-heavy visuals; investment-advice confusion</x:v>
      </x:c>
      <x:c r="AD7" s="164" t="n">
        <x:f>'Matrix'!AA7</x:f>
        <x:v>9.161666666666669</x:v>
      </x:c>
      <x:c r="AE7" s="162" t="n">
        <x:f>'Matrix'!AB7</x:f>
        <x:v>3</x:v>
      </x:c>
    </x:row>
    <x:row r="8">
      <x:c r="A8" s="162" t="n">
        <x:v>7</x:v>
      </x:c>
      <x:c r="B8" s="162" t="str">
        <x:v>Negócios e empresas</x:v>
      </x:c>
      <x:c r="C8" s="162" t="str">
        <x:v>Corporate rise, pivot and decline</x:v>
      </x:c>
      <x:c r="D8" s="162" t="str">
        <x:v>General documentary and business audiences</x:v>
      </x:c>
      <x:c r="E8" s="162" t="str">
        <x:v>Learn how strategic decisions compound over time</x:v>
      </x:c>
      <x:c r="F8" s="162" t="str">
        <x:v>The Pivot That Saved Nintendo • How BlackBerry Lost the Feedback Loop • The Long Decline of the Department Store</x:v>
      </x:c>
      <x:c r="G8" s="162" t="str">
        <x:v>Narrative timeline with decision points</x:v>
      </x:c>
      <x:c r="H8" s="162" t="str">
        <x:v>18–30 min</x:v>
      </x:c>
      <x:c r="I8" s="162" t="str">
        <x:v>2/month</x:v>
      </x:c>
      <x:c r="J8" s="162" t="n">
        <x:v>9</x:v>
      </x:c>
      <x:c r="K8" s="162" t="n">
        <x:v>7</x:v>
      </x:c>
      <x:c r="L8" s="162" t="str">
        <x:v>Medium for archival periods</x:v>
      </x:c>
      <x:c r="M8" s="162" t="n">
        <x:v>7.5</x:v>
      </x:c>
      <x:c r="N8" s="162" t="str">
        <x:v>Very high</x:v>
      </x:c>
      <x:c r="O8" s="162" t="n">
        <x:v>9.5</x:v>
      </x:c>
      <x:c r="P8" s="162" t="str">
        <x:v>High</x:v>
      </x:c>
      <x:c r="Q8" s="162" t="str">
        <x:v>Business education, productivity, fintech</x:v>
      </x:c>
      <x:c r="R8" s="162" t="str">
        <x:v>Medium</x:v>
      </x:c>
      <x:c r="S8" s="162" t="str">
        <x:v>Medium–high archival copyright</x:v>
      </x:c>
      <x:c r="T8" s="162" t="str">
        <x:v>Low</x:v>
      </x:c>
      <x:c r="U8" s="162" t="str">
        <x:v>Medium</x:v>
      </x:c>
      <x:c r="V8" s="162" t="str">
        <x:v>High</x:v>
      </x:c>
      <x:c r="W8" s="162" t="str">
        <x:v>24–42 h</x:v>
      </x:c>
      <x:c r="X8" s="163" t="n">
        <x:v>8.375</x:v>
      </x:c>
      <x:c r="Y8" s="163" t="n">
        <x:v>8</x:v>
      </x:c>
      <x:c r="Z8" s="163" t="n">
        <x:v>8</x:v>
      </x:c>
      <x:c r="AA8" s="162" t="str">
        <x:v>Tell the story as a sequence of constrained decisions, not hero/villain mythology.</x:v>
      </x:c>
      <x:c r="AB8" s="162" t="str">
        <x:v>Filings, books, contemporaneous reporting and clearly labeled inference.</x:v>
      </x:c>
      <x:c r="AC8" s="162" t="str">
        <x:v>Archive licensing and overly confident attribution of executive motives</x:v>
      </x:c>
      <x:c r="AD8" s="164" t="n">
        <x:f>'Matrix'!AA8</x:f>
        <x:v>8.462500000000002</x:v>
      </x:c>
      <x:c r="AE8" s="162" t="n">
        <x:f>'Matrix'!AB8</x:f>
        <x:v>32</x:v>
      </x:c>
    </x:row>
    <x:row r="9">
      <x:c r="A9" s="162" t="n">
        <x:v>8</x:v>
      </x:c>
      <x:c r="B9" s="162" t="str">
        <x:v>Cultura e mídia</x:v>
      </x:c>
      <x:c r="C9" s="162" t="str">
        <x:v>Media and entertainment business</x:v>
      </x:c>
      <x:c r="D9" s="162" t="str">
        <x:v>Media fans, creators and business audiences</x:v>
      </x:c>
      <x:c r="E9" s="162" t="str">
        <x:v>Understand the economics behind films, games, music and streaming</x:v>
      </x:c>
      <x:c r="F9" s="162" t="str">
        <x:v>Why Streaming Bundles Came Back • The Economics of a Movie Flop • How Game Pass Changes Game Design</x:v>
      </x:c>
      <x:c r="G9" s="162" t="str">
        <x:v>Industry analysis + case study</x:v>
      </x:c>
      <x:c r="H9" s="162" t="str">
        <x:v>14–26 min</x:v>
      </x:c>
      <x:c r="I9" s="162" t="str">
        <x:v>2–3/month</x:v>
      </x:c>
      <x:c r="J9" s="162" t="n">
        <x:v>9</x:v>
      </x:c>
      <x:c r="K9" s="162" t="n">
        <x:v>8</x:v>
      </x:c>
      <x:c r="L9" s="162" t="str">
        <x:v>High temptation to use protected clips</x:v>
      </x:c>
      <x:c r="M9" s="162" t="n">
        <x:v>7.5</x:v>
      </x:c>
      <x:c r="N9" s="162" t="str">
        <x:v>Very high</x:v>
      </x:c>
      <x:c r="O9" s="162" t="n">
        <x:v>9</x:v>
      </x:c>
      <x:c r="P9" s="162" t="str">
        <x:v>High</x:v>
      </x:c>
      <x:c r="Q9" s="162" t="str">
        <x:v>Creator tools, media SaaS, education, entertainment tech</x:v>
      </x:c>
      <x:c r="R9" s="162" t="str">
        <x:v>Medium</x:v>
      </x:c>
      <x:c r="S9" s="162" t="str">
        <x:v>High</x:v>
      </x:c>
      <x:c r="T9" s="162" t="str">
        <x:v>Medium</x:v>
      </x:c>
      <x:c r="U9" s="162" t="str">
        <x:v>Medium</x:v>
      </x:c>
      <x:c r="V9" s="162" t="str">
        <x:v>High</x:v>
      </x:c>
      <x:c r="W9" s="162" t="str">
        <x:v>22–38 h</x:v>
      </x:c>
      <x:c r="X9" s="163" t="n">
        <x:v>8.375</x:v>
      </x:c>
      <x:c r="Y9" s="163" t="n">
        <x:v>8.5</x:v>
      </x:c>
      <x:c r="Z9" s="163" t="n">
        <x:v>7.5</x:v>
      </x:c>
      <x:c r="AA9" s="162" t="str">
        <x:v>Cover money, distribution and incentives with original graphics rather than fandom recap.</x:v>
      </x:c>
      <x:c r="AB9" s="162" t="str">
        <x:v>Use industry filings and trade data; minimize illustrative clips and clear rights before use.</x:v>
      </x:c>
      <x:c r="AC9" s="162" t="str">
        <x:v>Copyright claims, release-cycle dependence and fan-war framing</x:v>
      </x:c>
      <x:c r="AD9" s="164" t="n">
        <x:f>'Matrix'!AA9</x:f>
        <x:v>8.3725</x:v>
      </x:c>
      <x:c r="AE9" s="162" t="n">
        <x:f>'Matrix'!AB9</x:f>
        <x:v>34</x:v>
      </x:c>
    </x:row>
    <x:row r="10">
      <x:c r="A10" s="162" t="n">
        <x:v>9</x:v>
      </x:c>
      <x:c r="B10" s="162" t="str">
        <x:v>Luxo, marcas e mercados</x:v>
      </x:c>
      <x:c r="C10" s="162" t="str">
        <x:v>Luxury brands and market economics</x:v>
      </x:c>
      <x:c r="D10" s="162" t="str">
        <x:v>Affluent aspirational viewers and business-curious adults</x:v>
      </x:c>
      <x:c r="E10" s="162" t="str">
        <x:v>Understand scarcity, status, craftsmanship and pricing</x:v>
      </x:c>
      <x:c r="F10" s="162" t="str">
        <x:v>Why Hermès Refuses to Scale Like a Normal Company • The Secondary Market That Sells Scarcity • How Watch Brands Manufacture Waiting Lists</x:v>
      </x:c>
      <x:c r="G10" s="162" t="str">
        <x:v>Brand strategy documentary</x:v>
      </x:c>
      <x:c r="H10" s="162" t="str">
        <x:v>14–24 min</x:v>
      </x:c>
      <x:c r="I10" s="162" t="str">
        <x:v>2/month</x:v>
      </x:c>
      <x:c r="J10" s="162" t="n">
        <x:v>9</x:v>
      </x:c>
      <x:c r="K10" s="162" t="n">
        <x:v>8</x:v>
      </x:c>
      <x:c r="L10" s="162" t="str">
        <x:v>Medium; product images and event footage</x:v>
      </x:c>
      <x:c r="M10" s="162" t="n">
        <x:v>8</x:v>
      </x:c>
      <x:c r="N10" s="162" t="str">
        <x:v>High</x:v>
      </x:c>
      <x:c r="O10" s="162" t="n">
        <x:v>8.5</x:v>
      </x:c>
      <x:c r="P10" s="162" t="str">
        <x:v>High</x:v>
      </x:c>
      <x:c r="Q10" s="162" t="str">
        <x:v>Luxury resale, finance, travel, premium services</x:v>
      </x:c>
      <x:c r="R10" s="162" t="str">
        <x:v>High</x:v>
      </x:c>
      <x:c r="S10" s="162" t="str">
        <x:v>Medium</x:v>
      </x:c>
      <x:c r="T10" s="162" t="str">
        <x:v>Low</x:v>
      </x:c>
      <x:c r="U10" s="162" t="str">
        <x:v>Medium</x:v>
      </x:c>
      <x:c r="V10" s="162" t="str">
        <x:v>Medium</x:v>
      </x:c>
      <x:c r="W10" s="162" t="str">
        <x:v>18–32 h</x:v>
      </x:c>
      <x:c r="X10" s="163" t="n">
        <x:v>8.5</x:v>
      </x:c>
      <x:c r="Y10" s="163" t="n">
        <x:v>8.5</x:v>
      </x:c>
      <x:c r="Z10" s="163" t="n">
        <x:v>8.5</x:v>
      </x:c>
      <x:c r="AA10" s="162" t="str">
        <x:v>Explain the economic system of prestige instead of producing aspirational compilations.</x:v>
      </x:c>
      <x:c r="AB10" s="162" t="str">
        <x:v>Company reports, auction data, supply-chain sources and visual provenance logs.</x:v>
      </x:c>
      <x:c r="AC10" s="162" t="str">
        <x:v>Trademark-heavy imagery and unverified claims about private-company economics</x:v>
      </x:c>
      <x:c r="AD10" s="164" t="n">
        <x:f>'Matrix'!AA10</x:f>
        <x:v>8.479999999999999</x:v>
      </x:c>
      <x:c r="AE10" s="162" t="n">
        <x:f>'Matrix'!AB10</x:f>
        <x:v>29</x:v>
      </x:c>
    </x:row>
    <x:row r="11">
      <x:c r="A11" s="162" t="n">
        <x:v>10</x:v>
      </x:c>
      <x:c r="B11" s="162" t="str">
        <x:v>Tecnologia e IA</x:v>
      </x:c>
      <x:c r="C11" s="162" t="str">
        <x:v>Semiconductors and compute infrastructure</x:v>
      </x:c>
      <x:c r="D11" s="162" t="str">
        <x:v>Tech professionals, investors, students and AI-curious adults</x:v>
      </x:c>
      <x:c r="E11" s="162" t="str">
        <x:v>Understand the physical stack beneath modern computing</x:v>
      </x:c>
      <x:c r="F11" s="162" t="str">
        <x:v>Why Advanced Chips Need Perfectly Ordinary Water • Inside the Memory Bottleneck • How Packaging Became the New Moore's Law</x:v>
      </x:c>
      <x:c r="G11" s="162" t="str">
        <x:v>Layered technical explainer + industry map</x:v>
      </x:c>
      <x:c r="H11" s="162" t="str">
        <x:v>14–26 min</x:v>
      </x:c>
      <x:c r="I11" s="162" t="str">
        <x:v>3/month</x:v>
      </x:c>
      <x:c r="J11" s="162" t="n">
        <x:v>10</x:v>
      </x:c>
      <x:c r="K11" s="162" t="n">
        <x:v>9</x:v>
      </x:c>
      <x:c r="L11" s="162" t="str">
        <x:v>Low–medium</x:v>
      </x:c>
      <x:c r="M11" s="162" t="n">
        <x:v>8.5</x:v>
      </x:c>
      <x:c r="N11" s="162" t="str">
        <x:v>High</x:v>
      </x:c>
      <x:c r="O11" s="162" t="n">
        <x:v>8.5</x:v>
      </x:c>
      <x:c r="P11" s="162" t="str">
        <x:v>Very high</x:v>
      </x:c>
      <x:c r="Q11" s="162" t="str">
        <x:v>Cloud, developer tools, hardware, education, recruiting</x:v>
      </x:c>
      <x:c r="R11" s="162" t="str">
        <x:v>Medium</x:v>
      </x:c>
      <x:c r="S11" s="162" t="str">
        <x:v>Low</x:v>
      </x:c>
      <x:c r="T11" s="162" t="str">
        <x:v>Low–medium export-control topics</x:v>
      </x:c>
      <x:c r="U11" s="162" t="str">
        <x:v>Medium</x:v>
      </x:c>
      <x:c r="V11" s="162" t="str">
        <x:v>High</x:v>
      </x:c>
      <x:c r="W11" s="162" t="str">
        <x:v>22–38 h</x:v>
      </x:c>
      <x:c r="X11" s="163" t="n">
        <x:v>8.875</x:v>
      </x:c>
      <x:c r="Y11" s="163" t="n">
        <x:v>9.5</x:v>
      </x:c>
      <x:c r="Z11" s="163" t="n">
        <x:v>9</x:v>
      </x:c>
      <x:c r="AA11" s="162" t="str">
        <x:v>Connect physics, factories, supply chains and business incentives in one visual model.</x:v>
      </x:c>
      <x:c r="AB11" s="162" t="str">
        <x:v>Use manufacturer documentation, conference papers, filings and technical reviewers.</x:v>
      </x:c>
      <x:c r="AC11" s="162" t="str">
        <x:v>Fast-changing specifications and export-control/geopolitical claims</x:v>
      </x:c>
      <x:c r="AD11" s="164" t="n">
        <x:f>'Matrix'!AA11</x:f>
        <x:v>9.172500000000001</x:v>
      </x:c>
      <x:c r="AE11" s="162" t="n">
        <x:f>'Matrix'!AB11</x:f>
        <x:v>2</x:v>
      </x:c>
    </x:row>
    <x:row r="12">
      <x:c r="A12" s="162" t="n">
        <x:v>11</x:v>
      </x:c>
      <x:c r="B12" s="162" t="str">
        <x:v>Tecnologia e IA</x:v>
      </x:c>
      <x:c r="C12" s="162" t="str">
        <x:v>AI systems, economics and real-world constraints</x:v>
      </x:c>
      <x:c r="D12" s="162" t="str">
        <x:v>Tech decision-makers, knowledge workers and serious AI enthusiasts</x:v>
      </x:c>
      <x:c r="E12" s="162" t="str">
        <x:v>Separate capability, infrastructure, economics and hype</x:v>
      </x:c>
      <x:c r="F12" s="162" t="str">
        <x:v>The Five Layers Every AI Product Depends On • Why Inference Cost Matters More Than Model Size • What AI Data Centers Actually Need</x:v>
      </x:c>
      <x:c r="G12" s="162" t="str">
        <x:v>Evidence-led systems analysis</x:v>
      </x:c>
      <x:c r="H12" s="162" t="str">
        <x:v>14–24 min</x:v>
      </x:c>
      <x:c r="I12" s="162" t="str">
        <x:v>3–4/month</x:v>
      </x:c>
      <x:c r="J12" s="162" t="n">
        <x:v>10</x:v>
      </x:c>
      <x:c r="K12" s="162" t="n">
        <x:v>10</x:v>
      </x:c>
      <x:c r="L12" s="162" t="str">
        <x:v>Low</x:v>
      </x:c>
      <x:c r="M12" s="162" t="n">
        <x:v>9</x:v>
      </x:c>
      <x:c r="N12" s="162" t="str">
        <x:v>Very high</x:v>
      </x:c>
      <x:c r="O12" s="162" t="n">
        <x:v>8.5</x:v>
      </x:c>
      <x:c r="P12" s="162" t="str">
        <x:v>Very high</x:v>
      </x:c>
      <x:c r="Q12" s="162" t="str">
        <x:v>AI tools, cloud, data, security, education</x:v>
      </x:c>
      <x:c r="R12" s="162" t="str">
        <x:v>High</x:v>
      </x:c>
      <x:c r="S12" s="162" t="str">
        <x:v>Low</x:v>
      </x:c>
      <x:c r="T12" s="162" t="str">
        <x:v>Medium for sensitive applications</x:v>
      </x:c>
      <x:c r="U12" s="162" t="str">
        <x:v>High</x:v>
      </x:c>
      <x:c r="V12" s="162" t="str">
        <x:v>High</x:v>
      </x:c>
      <x:c r="W12" s="162" t="str">
        <x:v>20–38 h</x:v>
      </x:c>
      <x:c r="X12" s="163" t="n">
        <x:v>8.875</x:v>
      </x:c>
      <x:c r="Y12" s="163" t="n">
        <x:v>9</x:v>
      </x:c>
      <x:c r="Z12" s="163" t="n">
        <x:v>8.5</x:v>
      </x:c>
      <x:c r="AA12" s="162" t="str">
        <x:v>Treat AI as an operating system of compute, energy, data, models and applications—not a news feed.</x:v>
      </x:c>
      <x:c r="AB12" s="162" t="str">
        <x:v>Primary papers, system cards, benchmarks, vendor docs and a dated evidence ledger.</x:v>
      </x:c>
      <x:c r="AC12" s="162" t="str">
        <x:v>Rapid obsolescence, benchmark misuse, hype and health/finance/politics spillover</x:v>
      </x:c>
      <x:c r="AD12" s="164" t="n">
        <x:f>'Matrix'!AA12</x:f>
        <x:v>9.242500000000001</x:v>
      </x:c>
      <x:c r="AE12" s="162" t="n">
        <x:f>'Matrix'!AB12</x:f>
        <x:v>1</x:v>
      </x:c>
    </x:row>
    <x:row r="13">
      <x:c r="A13" s="162" t="n">
        <x:v>12</x:v>
      </x:c>
      <x:c r="B13" s="162" t="str">
        <x:v>Tecnologia e IA</x:v>
      </x:c>
      <x:c r="C13" s="162" t="str">
        <x:v>Internet architecture and cloud systems</x:v>
      </x:c>
      <x:c r="D13" s="162" t="str">
        <x:v>Developers, IT professionals, students and curious non-specialists</x:v>
      </x:c>
      <x:c r="E13" s="162" t="str">
        <x:v>Understand the invisible digital infrastructure behind apps</x:v>
      </x:c>
      <x:c r="F13" s="162" t="str">
        <x:v>What Happens After You Type a URL • Why the Cloud Still Needs Cables • How One Bad Route Can Break the Internet</x:v>
      </x:c>
      <x:c r="G13" s="162" t="str">
        <x:v>Packet-to-platform visual journey</x:v>
      </x:c>
      <x:c r="H13" s="162" t="str">
        <x:v>12–22 min</x:v>
      </x:c>
      <x:c r="I13" s="162" t="str">
        <x:v>3/month</x:v>
      </x:c>
      <x:c r="J13" s="162" t="n">
        <x:v>10</x:v>
      </x:c>
      <x:c r="K13" s="162" t="n">
        <x:v>8</x:v>
      </x:c>
      <x:c r="L13" s="162" t="str">
        <x:v>Low</x:v>
      </x:c>
      <x:c r="M13" s="162" t="n">
        <x:v>9</x:v>
      </x:c>
      <x:c r="N13" s="162" t="str">
        <x:v>High</x:v>
      </x:c>
      <x:c r="O13" s="162" t="n">
        <x:v>8.5</x:v>
      </x:c>
      <x:c r="P13" s="162" t="str">
        <x:v>High</x:v>
      </x:c>
      <x:c r="Q13" s="162" t="str">
        <x:v>Cloud, cybersecurity, developer tools, education</x:v>
      </x:c>
      <x:c r="R13" s="162" t="str">
        <x:v>High</x:v>
      </x:c>
      <x:c r="S13" s="162" t="str">
        <x:v>Low</x:v>
      </x:c>
      <x:c r="T13" s="162" t="str">
        <x:v>Low</x:v>
      </x:c>
      <x:c r="U13" s="162" t="str">
        <x:v>Medium</x:v>
      </x:c>
      <x:c r="V13" s="162" t="str">
        <x:v>Medium</x:v>
      </x:c>
      <x:c r="W13" s="162" t="str">
        <x:v>18–32 h</x:v>
      </x:c>
      <x:c r="X13" s="163" t="n">
        <x:v>9.25</x:v>
      </x:c>
      <x:c r="Y13" s="163" t="n">
        <x:v>9</x:v>
      </x:c>
      <x:c r="Z13" s="163" t="n">
        <x:v>9.5</x:v>
      </x:c>
      <x:c r="AA13" s="162" t="str">
        <x:v>Make software infrastructure spatial, causal and understandable without turning into tutorials.</x:v>
      </x:c>
      <x:c r="AB13" s="162" t="str">
        <x:v>RFCs, vendor architecture docs, incident postmortems and expert review.</x:v>
      </x:c>
      <x:c r="AC13" s="162" t="str">
        <x:v>Vendor bias, security details that enable abuse, quickly changing platforms</x:v>
      </x:c>
      <x:c r="AD13" s="164" t="n">
        <x:f>'Matrix'!AA13</x:f>
        <x:v>9.138333333333332</x:v>
      </x:c>
      <x:c r="AE13" s="162" t="n">
        <x:f>'Matrix'!AB13</x:f>
        <x:v>4</x:v>
      </x:c>
    </x:row>
    <x:row r="14">
      <x:c r="A14" s="162" t="n">
        <x:v>13</x:v>
      </x:c>
      <x:c r="B14" s="162" t="str">
        <x:v>Segurança digital</x:v>
      </x:c>
      <x:c r="C14" s="162" t="str">
        <x:v>Cybersecurity incident anatomy</x:v>
      </x:c>
      <x:c r="D14" s="162" t="str">
        <x:v>IT professionals, security-curious adults and business audiences</x:v>
      </x:c>
      <x:c r="E14" s="162" t="str">
        <x:v>Learn how breaches happen and how systems recover</x:v>
      </x:c>
      <x:c r="F14" s="162" t="str">
        <x:v>The Misconfiguration That Exposed Millions • How Ransomware Moves Through a Network • The Day a Certificate Expired Everywhere</x:v>
      </x:c>
      <x:c r="G14" s="162" t="str">
        <x:v>Incident timeline + attack-path diagram + defense lessons</x:v>
      </x:c>
      <x:c r="H14" s="162" t="str">
        <x:v>16–28 min</x:v>
      </x:c>
      <x:c r="I14" s="162" t="str">
        <x:v>2/month</x:v>
      </x:c>
      <x:c r="J14" s="162" t="n">
        <x:v>10</x:v>
      </x:c>
      <x:c r="K14" s="162" t="n">
        <x:v>7</x:v>
      </x:c>
      <x:c r="L14" s="162" t="str">
        <x:v>Low</x:v>
      </x:c>
      <x:c r="M14" s="162" t="n">
        <x:v>7.5</x:v>
      </x:c>
      <x:c r="N14" s="162" t="str">
        <x:v>High</x:v>
      </x:c>
      <x:c r="O14" s="162" t="n">
        <x:v>9</x:v>
      </x:c>
      <x:c r="P14" s="162" t="str">
        <x:v>High</x:v>
      </x:c>
      <x:c r="Q14" s="162" t="str">
        <x:v>Security vendors, cloud, insurance, training</x:v>
      </x:c>
      <x:c r="R14" s="162" t="str">
        <x:v>High</x:v>
      </x:c>
      <x:c r="S14" s="162" t="str">
        <x:v>Low–medium</x:v>
      </x:c>
      <x:c r="T14" s="162" t="str">
        <x:v>Medium for enabling wrongdoing</x:v>
      </x:c>
      <x:c r="U14" s="162" t="str">
        <x:v>High</x:v>
      </x:c>
      <x:c r="V14" s="162" t="str">
        <x:v>High</x:v>
      </x:c>
      <x:c r="W14" s="162" t="str">
        <x:v>24–44 h</x:v>
      </x:c>
      <x:c r="X14" s="163" t="n">
        <x:v>8.5</x:v>
      </x:c>
      <x:c r="Y14" s="163" t="n">
        <x:v>9</x:v>
      </x:c>
      <x:c r="Z14" s="163" t="n">
        <x:v>7.5</x:v>
      </x:c>
      <x:c r="AA14" s="162" t="str">
        <x:v>Explain defensive lessons through verified incidents while withholding operationally harmful detail.</x:v>
      </x:c>
      <x:c r="AB14" s="162" t="str">
        <x:v>Incident reports, court filings, postmortems and security-expert review.</x:v>
      </x:c>
      <x:c r="AC14" s="162" t="str">
        <x:v>Enabling abuse, active investigations, attribution and sponsor conflicts</x:v>
      </x:c>
      <x:c r="AD14" s="164" t="n">
        <x:f>'Matrix'!AA14</x:f>
        <x:v>8.836666666666666</x:v>
      </x:c>
      <x:c r="AE14" s="162" t="n">
        <x:f>'Matrix'!AB14</x:f>
        <x:v>22</x:v>
      </x:c>
    </x:row>
    <x:row r="15">
      <x:c r="A15" s="162" t="n">
        <x:v>14</x:v>
      </x:c>
      <x:c r="B15" s="162" t="str">
        <x:v>Segurança digital</x:v>
      </x:c>
      <x:c r="C15" s="162" t="str">
        <x:v>Digital scams and consumer protection</x:v>
      </x:c>
      <x:c r="D15" s="162" t="str">
        <x:v>Broad adult audience, families and small businesses</x:v>
      </x:c>
      <x:c r="E15" s="162" t="str">
        <x:v>Recognize manipulation patterns before losing money or data</x:v>
      </x:c>
      <x:c r="F15" s="162" t="str">
        <x:v>Why Fake Support Calls Feel So Real • The Funnel Behind a Crypto Romance Scam • How Subscription Traps Exploit Friction</x:v>
      </x:c>
      <x:c r="G15" s="162" t="str">
        <x:v>Victim-safe investigation + persuasion map</x:v>
      </x:c>
      <x:c r="H15" s="162" t="str">
        <x:v>12–22 min</x:v>
      </x:c>
      <x:c r="I15" s="162" t="str">
        <x:v>3/month</x:v>
      </x:c>
      <x:c r="J15" s="162" t="n">
        <x:v>9</x:v>
      </x:c>
      <x:c r="K15" s="162" t="n">
        <x:v>7</x:v>
      </x:c>
      <x:c r="L15" s="162" t="str">
        <x:v>Low–medium</x:v>
      </x:c>
      <x:c r="M15" s="162" t="n">
        <x:v>8</x:v>
      </x:c>
      <x:c r="N15" s="162" t="str">
        <x:v>High</x:v>
      </x:c>
      <x:c r="O15" s="162" t="n">
        <x:v>9</x:v>
      </x:c>
      <x:c r="P15" s="162" t="str">
        <x:v>High</x:v>
      </x:c>
      <x:c r="Q15" s="162" t="str">
        <x:v>Security, identity protection, banking, consumer software</x:v>
      </x:c>
      <x:c r="R15" s="162" t="str">
        <x:v>High</x:v>
      </x:c>
      <x:c r="S15" s="162" t="str">
        <x:v>Low–medium</x:v>
      </x:c>
      <x:c r="T15" s="162" t="str">
        <x:v>Medium</x:v>
      </x:c>
      <x:c r="U15" s="162" t="str">
        <x:v>High</x:v>
      </x:c>
      <x:c r="V15" s="162" t="str">
        <x:v>High</x:v>
      </x:c>
      <x:c r="W15" s="162" t="str">
        <x:v>20–36 h</x:v>
      </x:c>
      <x:c r="X15" s="163" t="n">
        <x:v>8.75</x:v>
      </x:c>
      <x:c r="Y15" s="163" t="n">
        <x:v>9</x:v>
      </x:c>
      <x:c r="Z15" s="163" t="n">
        <x:v>7.5</x:v>
      </x:c>
      <x:c r="AA15" s="162" t="str">
        <x:v>Decode the system of deception without amplifying scammers or humiliating victims.</x:v>
      </x:c>
      <x:c r="AB15" s="162" t="str">
        <x:v>Regulator warnings, court records, platform reports and expert interviews by email.</x:v>
      </x:c>
      <x:c r="AC15" s="162" t="str">
        <x:v>Copycat instructions, victim privacy, financial misinformation and graphic losses</x:v>
      </x:c>
      <x:c r="AD15" s="164" t="n">
        <x:f>'Matrix'!AA15</x:f>
        <x:v>8.816666666666666</x:v>
      </x:c>
      <x:c r="AE15" s="162" t="n">
        <x:f>'Matrix'!AB15</x:f>
        <x:v>24</x:v>
      </x:c>
    </x:row>
    <x:row r="16">
      <x:c r="A16" s="162" t="n">
        <x:v>15</x:v>
      </x:c>
      <x:c r="B16" s="162" t="str">
        <x:v>História e civilizações</x:v>
      </x:c>
      <x:c r="C16" s="162" t="str">
        <x:v>History through systems and logistics</x:v>
      </x:c>
      <x:c r="D16" s="162" t="str">
        <x:v>History fans, students and documentary viewers</x:v>
      </x:c>
      <x:c r="E16" s="162" t="str">
        <x:v>Understand how food, roads, energy and institutions shaped history</x:v>
      </x:c>
      <x:c r="F16" s="162" t="str">
        <x:v>The Grain System That Fed Ancient Rome • How Roads Changed the Inca Empire • Why Armies Lose to Logistics</x:v>
      </x:c>
      <x:c r="G16" s="162" t="str">
        <x:v>Narrated historical systems documentary</x:v>
      </x:c>
      <x:c r="H16" s="162" t="str">
        <x:v>18–30 min</x:v>
      </x:c>
      <x:c r="I16" s="162" t="str">
        <x:v>2/month</x:v>
      </x:c>
      <x:c r="J16" s="162" t="n">
        <x:v>10</x:v>
      </x:c>
      <x:c r="K16" s="162" t="n">
        <x:v>8</x:v>
      </x:c>
      <x:c r="L16" s="162" t="str">
        <x:v>Low–medium; public-domain art and maps</x:v>
      </x:c>
      <x:c r="M16" s="162" t="n">
        <x:v>8</x:v>
      </x:c>
      <x:c r="N16" s="162" t="str">
        <x:v>High</x:v>
      </x:c>
      <x:c r="O16" s="162" t="n">
        <x:v>9.5</x:v>
      </x:c>
      <x:c r="P16" s="162" t="str">
        <x:v>High</x:v>
      </x:c>
      <x:c r="Q16" s="162" t="str">
        <x:v>Education, books, travel, learning platforms</x:v>
      </x:c>
      <x:c r="R16" s="162" t="str">
        <x:v>Medium</x:v>
      </x:c>
      <x:c r="S16" s="162" t="str">
        <x:v>Low</x:v>
      </x:c>
      <x:c r="T16" s="162" t="str">
        <x:v>Low</x:v>
      </x:c>
      <x:c r="U16" s="162" t="str">
        <x:v>Medium</x:v>
      </x:c>
      <x:c r="V16" s="162" t="str">
        <x:v>High</x:v>
      </x:c>
      <x:c r="W16" s="162" t="str">
        <x:v>24–42 h</x:v>
      </x:c>
      <x:c r="X16" s="163" t="n">
        <x:v>8.875</x:v>
      </x:c>
      <x:c r="Y16" s="163" t="n">
        <x:v>9.5</x:v>
      </x:c>
      <x:c r="Z16" s="163" t="n">
        <x:v>9.5</x:v>
      </x:c>
      <x:c r="AA16" s="162" t="str">
        <x:v>Use systems as the protagonist and individual rulers as constrained actors.</x:v>
      </x:c>
      <x:c r="AB16" s="162" t="str">
        <x:v>Academic books and papers, museum collections, primary sources and historian review.</x:v>
      </x:c>
      <x:c r="AC16" s="162" t="str">
        <x:v>Anachronism, disputed interpretations and AI imagery presented as real evidence</x:v>
      </x:c>
      <x:c r="AD16" s="164" t="n">
        <x:f>'Matrix'!AA16</x:f>
        <x:v>9.087500000000002</x:v>
      </x:c>
      <x:c r="AE16" s="162" t="n">
        <x:f>'Matrix'!AB16</x:f>
        <x:v>6</x:v>
      </x:c>
    </x:row>
    <x:row r="17">
      <x:c r="A17" s="162" t="n">
        <x:v>16</x:v>
      </x:c>
      <x:c r="B17" s="162" t="str">
        <x:v>História e civilizações</x:v>
      </x:c>
      <x:c r="C17" s="162" t="str">
        <x:v>Archaeology and lost cities—evidence first</x:v>
      </x:c>
      <x:c r="D17" s="162" t="str">
        <x:v>History/mystery viewers who prefer credible investigation</x:v>
      </x:c>
      <x:c r="E17" s="162" t="str">
        <x:v>Explore unresolved questions without pseudoscience</x:v>
      </x:c>
      <x:c r="F17" s="162" t="str">
        <x:v>What We Actually Know About the Indus Cities • The Desert Lines Seen From Space • How Archaeologists Find a Buried Street</x:v>
      </x:c>
      <x:c r="G17" s="162" t="str">
        <x:v>Evidence ladder: find, date, interpret, debate</x:v>
      </x:c>
      <x:c r="H17" s="162" t="str">
        <x:v>18–30 min</x:v>
      </x:c>
      <x:c r="I17" s="162" t="str">
        <x:v>2/month</x:v>
      </x:c>
      <x:c r="J17" s="162" t="n">
        <x:v>9</x:v>
      </x:c>
      <x:c r="K17" s="162" t="n">
        <x:v>9</x:v>
      </x:c>
      <x:c r="L17" s="162" t="str">
        <x:v>Low–medium</x:v>
      </x:c>
      <x:c r="M17" s="162" t="n">
        <x:v>7.5</x:v>
      </x:c>
      <x:c r="N17" s="162" t="str">
        <x:v>Very high</x:v>
      </x:c>
      <x:c r="O17" s="162" t="n">
        <x:v>9</x:v>
      </x:c>
      <x:c r="P17" s="162" t="str">
        <x:v>Medium</x:v>
      </x:c>
      <x:c r="Q17" s="162" t="str">
        <x:v>Education, books, travel, museums</x:v>
      </x:c>
      <x:c r="R17" s="162" t="str">
        <x:v>Medium</x:v>
      </x:c>
      <x:c r="S17" s="162" t="str">
        <x:v>Low–medium</x:v>
      </x:c>
      <x:c r="T17" s="162" t="str">
        <x:v>Low</x:v>
      </x:c>
      <x:c r="U17" s="162" t="str">
        <x:v>High</x:v>
      </x:c>
      <x:c r="V17" s="162" t="str">
        <x:v>High</x:v>
      </x:c>
      <x:c r="W17" s="162" t="str">
        <x:v>26–46 h</x:v>
      </x:c>
      <x:c r="X17" s="163" t="n">
        <x:v>8.375</x:v>
      </x:c>
      <x:c r="Y17" s="163" t="n">
        <x:v>9</x:v>
      </x:c>
      <x:c r="Z17" s="163" t="n">
        <x:v>8.5</x:v>
      </x:c>
      <x:c r="AA17" s="162" t="str">
        <x:v>Turn uncertainty into narrative tension while explicitly rejecting unsupported claims.</x:v>
      </x:c>
      <x:c r="AB17" s="162" t="str">
        <x:v>Peer-reviewed archaeology, excavation reports, museum records and uncertainty labels.</x:v>
      </x:c>
      <x:c r="AC17" s="162" t="str">
        <x:v>Pseudoscience adjacency, cultural sensitivity and reconstructed scenes mistaken for fact</x:v>
      </x:c>
      <x:c r="AD17" s="164" t="n">
        <x:f>'Matrix'!AA17</x:f>
        <x:v>8.725833333333334</x:v>
      </x:c>
      <x:c r="AE17" s="162" t="n">
        <x:f>'Matrix'!AB17</x:f>
        <x:v>27</x:v>
      </x:c>
    </x:row>
    <x:row r="18">
      <x:c r="A18" s="162" t="n">
        <x:v>17</x:v>
      </x:c>
      <x:c r="B18" s="162" t="str">
        <x:v>Biografias</x:v>
      </x:c>
      <x:c r="C18" s="162" t="str">
        <x:v>Inventors and industrialists in context</x:v>
      </x:c>
      <x:c r="D18" s="162" t="str">
        <x:v>History, technology and business audiences</x:v>
      </x:c>
      <x:c r="E18" s="162" t="str">
        <x:v>See how people, institutions and technology shaped each other</x:v>
      </x:c>
      <x:c r="F18" s="162" t="str">
        <x:v>The Team Behind the Shipping Container • The Engineer Who Standardized Time • The Forgotten Architect of Modern Memory</x:v>
      </x:c>
      <x:c r="G18" s="162" t="str">
        <x:v>Contextual biography + system impact</x:v>
      </x:c>
      <x:c r="H18" s="162" t="str">
        <x:v>16–28 min</x:v>
      </x:c>
      <x:c r="I18" s="162" t="str">
        <x:v>2/month</x:v>
      </x:c>
      <x:c r="J18" s="162" t="n">
        <x:v>9</x:v>
      </x:c>
      <x:c r="K18" s="162" t="n">
        <x:v>8</x:v>
      </x:c>
      <x:c r="L18" s="162" t="str">
        <x:v>Medium archival</x:v>
      </x:c>
      <x:c r="M18" s="162" t="n">
        <x:v>7.5</x:v>
      </x:c>
      <x:c r="N18" s="162" t="str">
        <x:v>High</x:v>
      </x:c>
      <x:c r="O18" s="162" t="n">
        <x:v>9</x:v>
      </x:c>
      <x:c r="P18" s="162" t="str">
        <x:v>Medium–high</x:v>
      </x:c>
      <x:c r="Q18" s="162" t="str">
        <x:v>Education, books, productivity, recruiting</x:v>
      </x:c>
      <x:c r="R18" s="162" t="str">
        <x:v>Medium</x:v>
      </x:c>
      <x:c r="S18" s="162" t="str">
        <x:v>Medium</x:v>
      </x:c>
      <x:c r="T18" s="162" t="str">
        <x:v>Low</x:v>
      </x:c>
      <x:c r="U18" s="162" t="str">
        <x:v>Medium</x:v>
      </x:c>
      <x:c r="V18" s="162" t="str">
        <x:v>High</x:v>
      </x:c>
      <x:c r="W18" s="162" t="str">
        <x:v>24–40 h</x:v>
      </x:c>
      <x:c r="X18" s="163" t="n">
        <x:v>8.5</x:v>
      </x:c>
      <x:c r="Y18" s="163" t="n">
        <x:v>9</x:v>
      </x:c>
      <x:c r="Z18" s="163" t="n">
        <x:v>8.5</x:v>
      </x:c>
      <x:c r="AA18" s="162" t="str">
        <x:v>Avoid lone-genius myths; show teams, institutions, predecessors and trade-offs.</x:v>
      </x:c>
      <x:c r="AB18" s="162" t="str">
        <x:v>Biographies, patents, archives and institutional histories with source notes.</x:v>
      </x:c>
      <x:c r="AC18" s="162" t="str">
        <x:v>Archive rights, hagiography and disputed credit</x:v>
      </x:c>
      <x:c r="AD18" s="164" t="n">
        <x:f>'Matrix'!AA18</x:f>
        <x:v>8.46</x:v>
      </x:c>
      <x:c r="AE18" s="162" t="n">
        <x:f>'Matrix'!AB18</x:f>
        <x:v>33</x:v>
      </x:c>
    </x:row>
    <x:row r="19">
      <x:c r="A19" s="162" t="n">
        <x:v>18</x:v>
      </x:c>
      <x:c r="B19" s="162" t="str">
        <x:v>Espaço</x:v>
      </x:c>
      <x:c r="C19" s="162" t="str">
        <x:v>Space missions and engineering</x:v>
      </x:c>
      <x:c r="D19" s="162" t="str">
        <x:v>Space enthusiasts, students and science-curious adults</x:v>
      </x:c>
      <x:c r="E19" s="162" t="str">
        <x:v>Understand how missions work and why designs differ</x:v>
      </x:c>
      <x:c r="F19" s="162" t="str">
        <x:v>How a Probe Survives Jupiter • Why Lunar Landers Keep Falling Over • The Navigation Problem Beyond GPS</x:v>
      </x:c>
      <x:c r="G19" s="162" t="str">
        <x:v>Mission architecture documentary</x:v>
      </x:c>
      <x:c r="H19" s="162" t="str">
        <x:v>14–26 min</x:v>
      </x:c>
      <x:c r="I19" s="162" t="str">
        <x:v>2–3/month</x:v>
      </x:c>
      <x:c r="J19" s="162" t="n">
        <x:v>10</x:v>
      </x:c>
      <x:c r="K19" s="162" t="n">
        <x:v>9</x:v>
      </x:c>
      <x:c r="L19" s="162" t="str">
        <x:v>Low; agency media often available with terms</x:v>
      </x:c>
      <x:c r="M19" s="162" t="n">
        <x:v>8.5</x:v>
      </x:c>
      <x:c r="N19" s="162" t="str">
        <x:v>High</x:v>
      </x:c>
      <x:c r="O19" s="162" t="n">
        <x:v>9</x:v>
      </x:c>
      <x:c r="P19" s="162" t="str">
        <x:v>High</x:v>
      </x:c>
      <x:c r="Q19" s="162" t="str">
        <x:v>Education, software, optics, aerospace recruiting</x:v>
      </x:c>
      <x:c r="R19" s="162" t="str">
        <x:v>Medium</x:v>
      </x:c>
      <x:c r="S19" s="162" t="str">
        <x:v>Low–medium depending on agency/source</x:v>
      </x:c>
      <x:c r="T19" s="162" t="str">
        <x:v>Low</x:v>
      </x:c>
      <x:c r="U19" s="162" t="str">
        <x:v>Low</x:v>
      </x:c>
      <x:c r="V19" s="162" t="str">
        <x:v>High</x:v>
      </x:c>
      <x:c r="W19" s="162" t="str">
        <x:v>20–36 h</x:v>
      </x:c>
      <x:c r="X19" s="163" t="n">
        <x:v>9</x:v>
      </x:c>
      <x:c r="Y19" s="163" t="n">
        <x:v>8.5</x:v>
      </x:c>
      <x:c r="Z19" s="163" t="n">
        <x:v>9.5</x:v>
      </x:c>
      <x:c r="AA19" s="162" t="str">
        <x:v>Explain mission decisions through constraints: mass, energy, communication, time and risk.</x:v>
      </x:c>
      <x:c r="AB19" s="162" t="str">
        <x:v>Agency mission pages, papers, technical reports and explicit simulation labels.</x:v>
      </x:c>
      <x:c r="AC19" s="162" t="str">
        <x:v>Agency image-license differences and speculative mission claims</x:v>
      </x:c>
      <x:c r="AD19" s="164" t="n">
        <x:f>'Matrix'!AA19</x:f>
        <x:v>8.981666666666667</x:v>
      </x:c>
      <x:c r="AE19" s="162" t="n">
        <x:f>'Matrix'!AB19</x:f>
        <x:v>13</x:v>
      </x:c>
    </x:row>
    <x:row r="20">
      <x:c r="A20" s="162" t="n">
        <x:v>19</x:v>
      </x:c>
      <x:c r="B20" s="162" t="str">
        <x:v>Espaço</x:v>
      </x:c>
      <x:c r="C20" s="162" t="str">
        <x:v>Astronomy and cosmic phenomena</x:v>
      </x:c>
      <x:c r="D20" s="162" t="str">
        <x:v>Global science audience and contemplative documentary viewers</x:v>
      </x:c>
      <x:c r="E20" s="162" t="str">
        <x:v>Understand phenomena too large or distant to see directly</x:v>
      </x:c>
      <x:c r="F20" s="162" t="str">
        <x:v>What a Magnetar Would Do to Nearby Space • How We Know a Black Hole Is There • The Slow Collision of Galaxies</x:v>
      </x:c>
      <x:c r="G20" s="162" t="str">
        <x:v>Scale-driven visual explainer</x:v>
      </x:c>
      <x:c r="H20" s="162" t="str">
        <x:v>12–24 min</x:v>
      </x:c>
      <x:c r="I20" s="162" t="str">
        <x:v>2–3/month</x:v>
      </x:c>
      <x:c r="J20" s="162" t="n">
        <x:v>10</x:v>
      </x:c>
      <x:c r="K20" s="162" t="n">
        <x:v>10</x:v>
      </x:c>
      <x:c r="L20" s="162" t="str">
        <x:v>Very low</x:v>
      </x:c>
      <x:c r="M20" s="162" t="n">
        <x:v>9</x:v>
      </x:c>
      <x:c r="N20" s="162" t="str">
        <x:v>High</x:v>
      </x:c>
      <x:c r="O20" s="162" t="n">
        <x:v>8.5</x:v>
      </x:c>
      <x:c r="P20" s="162" t="str">
        <x:v>High</x:v>
      </x:c>
      <x:c r="Q20" s="162" t="str">
        <x:v>Education, optics, software, science products</x:v>
      </x:c>
      <x:c r="R20" s="162" t="str">
        <x:v>Medium</x:v>
      </x:c>
      <x:c r="S20" s="162" t="str">
        <x:v>Low</x:v>
      </x:c>
      <x:c r="T20" s="162" t="str">
        <x:v>Low</x:v>
      </x:c>
      <x:c r="U20" s="162" t="str">
        <x:v>Medium</x:v>
      </x:c>
      <x:c r="V20" s="162" t="str">
        <x:v>Medium</x:v>
      </x:c>
      <x:c r="W20" s="162" t="str">
        <x:v>16–30 h</x:v>
      </x:c>
      <x:c r="X20" s="163" t="n">
        <x:v>9.125</x:v>
      </x:c>
      <x:c r="Y20" s="163" t="n">
        <x:v>7.5</x:v>
      </x:c>
      <x:c r="Z20" s="163" t="n">
        <x:v>9.5</x:v>
      </x:c>
      <x:c r="AA20" s="162" t="str">
        <x:v>Build wonder from measurement and scale, not sensational certainty.</x:v>
      </x:c>
      <x:c r="AB20" s="162" t="str">
        <x:v>Space-agency sources, observatory releases and peer-reviewed papers.</x:v>
      </x:c>
      <x:c r="AC20" s="162" t="str">
        <x:v>Overstating tentative discoveries or using misleading photorealistic scenes</x:v>
      </x:c>
      <x:c r="AD20" s="164" t="n">
        <x:f>'Matrix'!AA20</x:f>
        <x:v>8.8175</x:v>
      </x:c>
      <x:c r="AE20" s="162" t="n">
        <x:f>'Matrix'!AB20</x:f>
        <x:v>23</x:v>
      </x:c>
    </x:row>
    <x:row r="21">
      <x:c r="A21" s="162" t="n">
        <x:v>20</x:v>
      </x:c>
      <x:c r="B21" s="162" t="str">
        <x:v>Ciência e engenharia</x:v>
      </x:c>
      <x:c r="C21" s="162" t="str">
        <x:v>Materials science in everyday life</x:v>
      </x:c>
      <x:c r="D21" s="162" t="str">
        <x:v>Curious adults, students, makers and product-minded viewers</x:v>
      </x:c>
      <x:c r="E21" s="162" t="str">
        <x:v>Learn why ordinary materials behave in surprising ways</x:v>
      </x:c>
      <x:c r="F21" s="162" t="str">
        <x:v>Why Concrete Cracks on Purpose • The Material That Makes Touchscreens Work • Why Turbine Blades Are Grown Like Crystals</x:v>
      </x:c>
      <x:c r="G21" s="162" t="str">
        <x:v>Object teardown + micro-to-macro animation</x:v>
      </x:c>
      <x:c r="H21" s="162" t="str">
        <x:v>10–20 min</x:v>
      </x:c>
      <x:c r="I21" s="162" t="str">
        <x:v>3/month</x:v>
      </x:c>
      <x:c r="J21" s="162" t="n">
        <x:v>10</x:v>
      </x:c>
      <x:c r="K21" s="162" t="n">
        <x:v>9</x:v>
      </x:c>
      <x:c r="L21" s="162" t="str">
        <x:v>Low</x:v>
      </x:c>
      <x:c r="M21" s="162" t="n">
        <x:v>9</x:v>
      </x:c>
      <x:c r="N21" s="162" t="str">
        <x:v>Medium–high</x:v>
      </x:c>
      <x:c r="O21" s="162" t="n">
        <x:v>8.5</x:v>
      </x:c>
      <x:c r="P21" s="162" t="str">
        <x:v>High</x:v>
      </x:c>
      <x:c r="Q21" s="162" t="str">
        <x:v>Education, tools, manufacturing, consumer tech</x:v>
      </x:c>
      <x:c r="R21" s="162" t="str">
        <x:v>High</x:v>
      </x:c>
      <x:c r="S21" s="162" t="str">
        <x:v>Low</x:v>
      </x:c>
      <x:c r="T21" s="162" t="str">
        <x:v>Low</x:v>
      </x:c>
      <x:c r="U21" s="162" t="str">
        <x:v>Low</x:v>
      </x:c>
      <x:c r="V21" s="162" t="str">
        <x:v>Medium</x:v>
      </x:c>
      <x:c r="W21" s="162" t="str">
        <x:v>14–26 h</x:v>
      </x:c>
      <x:c r="X21" s="163" t="n">
        <x:v>9.5</x:v>
      </x:c>
      <x:c r="Y21" s="163" t="n">
        <x:v>9</x:v>
      </x:c>
      <x:c r="Z21" s="163" t="n">
        <x:v>9.5</x:v>
      </x:c>
      <x:c r="AA21" s="162" t="str">
        <x:v>Start with a familiar object, then reveal structure, processing, failure and trade-offs.</x:v>
      </x:c>
      <x:c r="AB21" s="162" t="str">
        <x:v>Textbooks, manufacturer technical notes and peer-reviewed materials research.</x:v>
      </x:c>
      <x:c r="AC21" s="162" t="str">
        <x:v>Unsafe DIY implications or exaggerated material properties</x:v>
      </x:c>
      <x:c r="AD21" s="164" t="n">
        <x:f>'Matrix'!AA21</x:f>
        <x:v>9.11</x:v>
      </x:c>
      <x:c r="AE21" s="162" t="n">
        <x:f>'Matrix'!AB21</x:f>
        <x:v>5</x:v>
      </x:c>
    </x:row>
    <x:row r="22">
      <x:c r="A22" s="162" t="n">
        <x:v>21</x:v>
      </x:c>
      <x:c r="B22" s="162" t="str">
        <x:v>Energia e ambiente</x:v>
      </x:c>
      <x:c r="C22" s="162" t="str">
        <x:v>Energy systems and transition</x:v>
      </x:c>
      <x:c r="D22" s="162" t="str">
        <x:v>Energy-curious adults, engineers, investors and policy audiences</x:v>
      </x:c>
      <x:c r="E22" s="162" t="str">
        <x:v>Understand grids, fuels, storage and trade-offs</x:v>
      </x:c>
      <x:c r="F22" s="162" t="str">
        <x:v>Why Grid Batteries Solve Hours, Not Seasons • The Real Job of a Transformer • How Heat Pumps Move Energy</x:v>
      </x:c>
      <x:c r="G22" s="162" t="str">
        <x:v>Systems explainer + scenario comparison</x:v>
      </x:c>
      <x:c r="H22" s="162" t="str">
        <x:v>14–26 min</x:v>
      </x:c>
      <x:c r="I22" s="162" t="str">
        <x:v>3/month</x:v>
      </x:c>
      <x:c r="J22" s="162" t="n">
        <x:v>10</x:v>
      </x:c>
      <x:c r="K22" s="162" t="n">
        <x:v>8</x:v>
      </x:c>
      <x:c r="L22" s="162" t="str">
        <x:v>Low–medium</x:v>
      </x:c>
      <x:c r="M22" s="162" t="n">
        <x:v>8</x:v>
      </x:c>
      <x:c r="N22" s="162" t="str">
        <x:v>High</x:v>
      </x:c>
      <x:c r="O22" s="162" t="n">
        <x:v>8.5</x:v>
      </x:c>
      <x:c r="P22" s="162" t="str">
        <x:v>High</x:v>
      </x:c>
      <x:c r="Q22" s="162" t="str">
        <x:v>Energy tech, B2B software, education, climate tech</x:v>
      </x:c>
      <x:c r="R22" s="162" t="str">
        <x:v>Medium</x:v>
      </x:c>
      <x:c r="S22" s="162" t="str">
        <x:v>Low</x:v>
      </x:c>
      <x:c r="T22" s="162" t="str">
        <x:v>Medium politicization</x:v>
      </x:c>
      <x:c r="U22" s="162" t="str">
        <x:v>High</x:v>
      </x:c>
      <x:c r="V22" s="162" t="str">
        <x:v>High</x:v>
      </x:c>
      <x:c r="W22" s="162" t="str">
        <x:v>22–40 h</x:v>
      </x:c>
      <x:c r="X22" s="163" t="n">
        <x:v>8.75</x:v>
      </x:c>
      <x:c r="Y22" s="163" t="n">
        <x:v>9</x:v>
      </x:c>
      <x:c r="Z22" s="163" t="n">
        <x:v>8.5</x:v>
      </x:c>
      <x:c r="AA22" s="162" t="str">
        <x:v>Make trade-offs visible in time, space, cost and reliability; avoid advocacy-by-omission.</x:v>
      </x:c>
      <x:c r="AB22" s="162" t="str">
        <x:v>Grid operators, IEA/EIA, regulators, technical literature and dated assumptions.</x:v>
      </x:c>
      <x:c r="AC22" s="162" t="str">
        <x:v>Politicization, rapidly changing cost data and false certainty</x:v>
      </x:c>
      <x:c r="AD22" s="164" t="n">
        <x:f>'Matrix'!AA22</x:f>
        <x:v>8.98</x:v>
      </x:c>
      <x:c r="AE22" s="162" t="n">
        <x:f>'Matrix'!AB22</x:f>
        <x:v>14</x:v>
      </x:c>
    </x:row>
    <x:row r="23">
      <x:c r="A23" s="162" t="n">
        <x:v>22</x:v>
      </x:c>
      <x:c r="B23" s="162" t="str">
        <x:v>Energia e ambiente</x:v>
      </x:c>
      <x:c r="C23" s="162" t="str">
        <x:v>Water, climate adaptation and resilience</x:v>
      </x:c>
      <x:c r="D23" s="162" t="str">
        <x:v>Civic, environmental and engineering audiences</x:v>
      </x:c>
      <x:c r="E23" s="162" t="str">
        <x:v>See practical ways societies manage physical risk</x:v>
      </x:c>
      <x:c r="F23" s="162" t="str">
        <x:v>How a City Stores a Year's Water • Why Flood Walls Move Risk • The Cooling Problem of Hotter Cities</x:v>
      </x:c>
      <x:c r="G23" s="162" t="str">
        <x:v>Place-based resilience case study</x:v>
      </x:c>
      <x:c r="H23" s="162" t="str">
        <x:v>14–26 min</x:v>
      </x:c>
      <x:c r="I23" s="162" t="str">
        <x:v>2–3/month</x:v>
      </x:c>
      <x:c r="J23" s="162" t="n">
        <x:v>10</x:v>
      </x:c>
      <x:c r="K23" s="162" t="n">
        <x:v>9</x:v>
      </x:c>
      <x:c r="L23" s="162" t="str">
        <x:v>Medium</x:v>
      </x:c>
      <x:c r="M23" s="162" t="n">
        <x:v>8</x:v>
      </x:c>
      <x:c r="N23" s="162" t="str">
        <x:v>High</x:v>
      </x:c>
      <x:c r="O23" s="162" t="n">
        <x:v>8.5</x:v>
      </x:c>
      <x:c r="P23" s="162" t="str">
        <x:v>High</x:v>
      </x:c>
      <x:c r="Q23" s="162" t="str">
        <x:v>Engineering, insurance, climate tech, education</x:v>
      </x:c>
      <x:c r="R23" s="162" t="str">
        <x:v>Low–medium</x:v>
      </x:c>
      <x:c r="S23" s="162" t="str">
        <x:v>Low–medium</x:v>
      </x:c>
      <x:c r="T23" s="162" t="str">
        <x:v>Medium for disasters</x:v>
      </x:c>
      <x:c r="U23" s="162" t="str">
        <x:v>High</x:v>
      </x:c>
      <x:c r="V23" s="162" t="str">
        <x:v>High</x:v>
      </x:c>
      <x:c r="W23" s="162" t="str">
        <x:v>22–40 h</x:v>
      </x:c>
      <x:c r="X23" s="163" t="n">
        <x:v>8.625</x:v>
      </x:c>
      <x:c r="Y23" s="163" t="n">
        <x:v>9</x:v>
      </x:c>
      <x:c r="Z23" s="163" t="n">
        <x:v>8.5</x:v>
      </x:c>
      <x:c r="AA23" s="162" t="str">
        <x:v>Explain a hazard, exposed system, interventions and unintended consequences.</x:v>
      </x:c>
      <x:c r="AB23" s="162" t="str">
        <x:v>Municipal plans, climate assessments, engineering studies and clear scenario labels.</x:v>
      </x:c>
      <x:c r="AC23" s="162" t="str">
        <x:v>Current disasters, locality-specific claims and synthetic disaster scenes</x:v>
      </x:c>
      <x:c r="AD23" s="164" t="n">
        <x:f>'Matrix'!AA23</x:f>
        <x:v>8.855833333333333</x:v>
      </x:c>
      <x:c r="AE23" s="162" t="n">
        <x:f>'Matrix'!AB23</x:f>
        <x:v>19</x:v>
      </x:c>
    </x:row>
    <x:row r="24">
      <x:c r="A24" s="162" t="n">
        <x:v>23</x:v>
      </x:c>
      <x:c r="B24" s="162" t="str">
        <x:v>Ciência e ambiente</x:v>
      </x:c>
      <x:c r="C24" s="162" t="str">
        <x:v>Geological extremes and natural systems</x:v>
      </x:c>
      <x:c r="D24" s="162" t="str">
        <x:v>Science, travel and documentary audiences</x:v>
      </x:c>
      <x:c r="E24" s="162" t="str">
        <x:v>Understand dramatic landscapes without disaster sensationalism</x:v>
      </x:c>
      <x:c r="F24" s="162" t="str">
        <x:v>Why This Volcano Produces Blue Flames • How a River Moves a Mountain • The Slow Earthquake Beneath a City</x:v>
      </x:c>
      <x:c r="G24" s="162" t="str">
        <x:v>Map + cross-section science documentary</x:v>
      </x:c>
      <x:c r="H24" s="162" t="str">
        <x:v>12–24 min</x:v>
      </x:c>
      <x:c r="I24" s="162" t="str">
        <x:v>2–3/month</x:v>
      </x:c>
      <x:c r="J24" s="162" t="n">
        <x:v>10</x:v>
      </x:c>
      <x:c r="K24" s="162" t="n">
        <x:v>10</x:v>
      </x:c>
      <x:c r="L24" s="162" t="str">
        <x:v>Low–medium</x:v>
      </x:c>
      <x:c r="M24" s="162" t="n">
        <x:v>9</x:v>
      </x:c>
      <x:c r="N24" s="162" t="str">
        <x:v>High</x:v>
      </x:c>
      <x:c r="O24" s="162" t="n">
        <x:v>9</x:v>
      </x:c>
      <x:c r="P24" s="162" t="str">
        <x:v>Medium</x:v>
      </x:c>
      <x:c r="Q24" s="162" t="str">
        <x:v>Education, travel, outdoor tech, science tools</x:v>
      </x:c>
      <x:c r="R24" s="162" t="str">
        <x:v>Medium</x:v>
      </x:c>
      <x:c r="S24" s="162" t="str">
        <x:v>Low–medium</x:v>
      </x:c>
      <x:c r="T24" s="162" t="str">
        <x:v>Medium for active events</x:v>
      </x:c>
      <x:c r="U24" s="162" t="str">
        <x:v>Medium</x:v>
      </x:c>
      <x:c r="V24" s="162" t="str">
        <x:v>Medium</x:v>
      </x:c>
      <x:c r="W24" s="162" t="str">
        <x:v>16–30 h</x:v>
      </x:c>
      <x:c r="X24" s="163" t="n">
        <x:v>9.25</x:v>
      </x:c>
      <x:c r="Y24" s="163" t="n">
        <x:v>8</x:v>
      </x:c>
      <x:c r="Z24" s="163" t="n">
        <x:v>9</x:v>
      </x:c>
      <x:c r="AA24" s="162" t="str">
        <x:v>Use landscapes as evidence and animate the invisible processes beneath them.</x:v>
      </x:c>
      <x:c r="AB24" s="162" t="str">
        <x:v>Geological surveys, academic sources and timestamps for active hazards.</x:v>
      </x:c>
      <x:c r="AC24" s="162" t="str">
        <x:v>Active-event misinformation and misleading synthetic imagery</x:v>
      </x:c>
      <x:c r="AD24" s="164" t="n">
        <x:f>'Matrix'!AA24</x:f>
        <x:v>8.760000000000002</x:v>
      </x:c>
      <x:c r="AE24" s="162" t="n">
        <x:f>'Matrix'!AB24</x:f>
        <x:v>26</x:v>
      </x:c>
    </x:row>
    <x:row r="25">
      <x:c r="A25" s="162" t="n">
        <x:v>24</x:v>
      </x:c>
      <x:c r="B25" s="162" t="str">
        <x:v>Psicologia e comportamento</x:v>
      </x:c>
      <x:c r="C25" s="162" t="str">
        <x:v>Evidence-based decision psychology</x:v>
      </x:c>
      <x:c r="D25" s="162" t="str">
        <x:v>Professionals, students and self-improvement audiences</x:v>
      </x:c>
      <x:c r="E25" s="162" t="str">
        <x:v>Make better decisions and recognize cognitive traps</x:v>
      </x:c>
      <x:c r="F25" s="162" t="str">
        <x:v>Why Sunk Costs Feel Like Commitments • What Choice Architecture Changes • When Confidence Stops Tracking Accuracy</x:v>
      </x:c>
      <x:c r="G25" s="162" t="str">
        <x:v>Research synthesis + scenario animation</x:v>
      </x:c>
      <x:c r="H25" s="162" t="str">
        <x:v>12–20 min</x:v>
      </x:c>
      <x:c r="I25" s="162" t="str">
        <x:v>3/month</x:v>
      </x:c>
      <x:c r="J25" s="162" t="n">
        <x:v>10</x:v>
      </x:c>
      <x:c r="K25" s="162" t="n">
        <x:v>9</x:v>
      </x:c>
      <x:c r="L25" s="162" t="str">
        <x:v>Very low</x:v>
      </x:c>
      <x:c r="M25" s="162" t="n">
        <x:v>9</x:v>
      </x:c>
      <x:c r="N25" s="162" t="str">
        <x:v>Very high</x:v>
      </x:c>
      <x:c r="O25" s="162" t="n">
        <x:v>8.5</x:v>
      </x:c>
      <x:c r="P25" s="162" t="str">
        <x:v>Very high</x:v>
      </x:c>
      <x:c r="Q25" s="162" t="str">
        <x:v>Education, productivity, HR, apps, books</x:v>
      </x:c>
      <x:c r="R25" s="162" t="str">
        <x:v>High</x:v>
      </x:c>
      <x:c r="S25" s="162" t="str">
        <x:v>Low</x:v>
      </x:c>
      <x:c r="T25" s="162" t="str">
        <x:v>Medium–high health adjacency</x:v>
      </x:c>
      <x:c r="U25" s="162" t="str">
        <x:v>High</x:v>
      </x:c>
      <x:c r="V25" s="162" t="str">
        <x:v>Medium</x:v>
      </x:c>
      <x:c r="W25" s="162" t="str">
        <x:v>18–34 h</x:v>
      </x:c>
      <x:c r="X25" s="163" t="n">
        <x:v>9.125</x:v>
      </x:c>
      <x:c r="Y25" s="163" t="n">
        <x:v>8</x:v>
      </x:c>
      <x:c r="Z25" s="163" t="n">
        <x:v>8</x:v>
      </x:c>
      <x:c r="AA25" s="162" t="str">
        <x:v>Translate robust findings into decisions while showing effect size, limits and replication status.</x:v>
      </x:c>
      <x:c r="AB25" s="162" t="str">
        <x:v>Systematic reviews, meta-analyses and qualified expert review; no diagnosis.</x:v>
      </x:c>
      <x:c r="AC25" s="162" t="str">
        <x:v>Pop-psych simplification, mental-health advice and overstated causality</x:v>
      </x:c>
      <x:c r="AD25" s="164" t="n">
        <x:f>'Matrix'!AA25</x:f>
        <x:v>8.900833333333335</x:v>
      </x:c>
      <x:c r="AE25" s="162" t="n">
        <x:f>'Matrix'!AB25</x:f>
        <x:v>17</x:v>
      </x:c>
    </x:row>
    <x:row r="26">
      <x:c r="A26" s="162" t="n">
        <x:v>25</x:v>
      </x:c>
      <x:c r="B26" s="162" t="str">
        <x:v>Carreira e trabalho</x:v>
      </x:c>
      <x:c r="C26" s="162" t="str">
        <x:v>Workplace systems and future of work</x:v>
      </x:c>
      <x:c r="D26" s="162" t="str">
        <x:v>Knowledge workers, managers and career switchers</x:v>
      </x:c>
      <x:c r="E26" s="162" t="str">
        <x:v>Navigate organizational change and technology adoption</x:v>
      </x:c>
      <x:c r="F26" s="162" t="str">
        <x:v>Why Meetings Multiply • The Hidden Cost of Coordination • What Automation Changes Before It Replaces Jobs</x:v>
      </x:c>
      <x:c r="G26" s="162" t="str">
        <x:v>Organizational system explainer + case studies</x:v>
      </x:c>
      <x:c r="H26" s="162" t="str">
        <x:v>12–22 min</x:v>
      </x:c>
      <x:c r="I26" s="162" t="str">
        <x:v>3/month</x:v>
      </x:c>
      <x:c r="J26" s="162" t="n">
        <x:v>9</x:v>
      </x:c>
      <x:c r="K26" s="162" t="n">
        <x:v>8</x:v>
      </x:c>
      <x:c r="L26" s="162" t="str">
        <x:v>Low</x:v>
      </x:c>
      <x:c r="M26" s="162" t="n">
        <x:v>9</x:v>
      </x:c>
      <x:c r="N26" s="162" t="str">
        <x:v>High</x:v>
      </x:c>
      <x:c r="O26" s="162" t="n">
        <x:v>8.5</x:v>
      </x:c>
      <x:c r="P26" s="162" t="str">
        <x:v>Very high</x:v>
      </x:c>
      <x:c r="Q26" s="162" t="str">
        <x:v>HR tech, productivity, education, recruiting</x:v>
      </x:c>
      <x:c r="R26" s="162" t="str">
        <x:v>High</x:v>
      </x:c>
      <x:c r="S26" s="162" t="str">
        <x:v>Low</x:v>
      </x:c>
      <x:c r="T26" s="162" t="str">
        <x:v>Low–medium</x:v>
      </x:c>
      <x:c r="U26" s="162" t="str">
        <x:v>Medium</x:v>
      </x:c>
      <x:c r="V26" s="162" t="str">
        <x:v>Medium</x:v>
      </x:c>
      <x:c r="W26" s="162" t="str">
        <x:v>16–30 h</x:v>
      </x:c>
      <x:c r="X26" s="163" t="n">
        <x:v>9.25</x:v>
      </x:c>
      <x:c r="Y26" s="163" t="n">
        <x:v>8.5</x:v>
      </x:c>
      <x:c r="Z26" s="163" t="n">
        <x:v>9</x:v>
      </x:c>
      <x:c r="AA26" s="162" t="str">
        <x:v>Explain work as flows of information, incentives and coordination, not generic motivation.</x:v>
      </x:c>
      <x:c r="AB26" s="162" t="str">
        <x:v>Labor data, organizational research, employer cases and explicit limits.</x:v>
      </x:c>
      <x:c r="AC26" s="162" t="str">
        <x:v>Forecasting certainty and sponsor-driven claims</x:v>
      </x:c>
      <x:c r="AD26" s="164" t="n">
        <x:f>'Matrix'!AA26</x:f>
        <x:v>9.038333333333334</x:v>
      </x:c>
      <x:c r="AE26" s="162" t="n">
        <x:f>'Matrix'!AB26</x:f>
        <x:v>11</x:v>
      </x:c>
    </x:row>
    <x:row r="27">
      <x:c r="A27" s="162" t="n">
        <x:v>26</x:v>
      </x:c>
      <x:c r="B27" s="162" t="str">
        <x:v>Produtividade</x:v>
      </x:c>
      <x:c r="C27" s="162" t="str">
        <x:v>Evidence-based productivity experiments</x:v>
      </x:c>
      <x:c r="D27" s="162" t="str">
        <x:v>Students, professionals and creators</x:v>
      </x:c>
      <x:c r="E27" s="162" t="str">
        <x:v>Find work methods that survive real-world testing</x:v>
      </x:c>
      <x:c r="F27" s="162" t="str">
        <x:v>What Happened When We Batched Every Meeting • Does Time Blocking Work Under Interruptions? • The Cost of Switching Tasks</x:v>
      </x:c>
      <x:c r="G27" s="162" t="str">
        <x:v>Experiment design + data story</x:v>
      </x:c>
      <x:c r="H27" s="162" t="str">
        <x:v>10–18 min</x:v>
      </x:c>
      <x:c r="I27" s="162" t="str">
        <x:v>3–4/month</x:v>
      </x:c>
      <x:c r="J27" s="162" t="n">
        <x:v>9</x:v>
      </x:c>
      <x:c r="K27" s="162" t="n">
        <x:v>8</x:v>
      </x:c>
      <x:c r="L27" s="162" t="str">
        <x:v>Low</x:v>
      </x:c>
      <x:c r="M27" s="162" t="n">
        <x:v>9</x:v>
      </x:c>
      <x:c r="N27" s="162" t="str">
        <x:v>Very high</x:v>
      </x:c>
      <x:c r="O27" s="162" t="n">
        <x:v>8</x:v>
      </x:c>
      <x:c r="P27" s="162" t="str">
        <x:v>Very high</x:v>
      </x:c>
      <x:c r="Q27" s="162" t="str">
        <x:v>Productivity software, education, hardware</x:v>
      </x:c>
      <x:c r="R27" s="162" t="str">
        <x:v>Very high</x:v>
      </x:c>
      <x:c r="S27" s="162" t="str">
        <x:v>Low</x:v>
      </x:c>
      <x:c r="T27" s="162" t="str">
        <x:v>Low</x:v>
      </x:c>
      <x:c r="U27" s="162" t="str">
        <x:v>Medium</x:v>
      </x:c>
      <x:c r="V27" s="162" t="str">
        <x:v>Medium</x:v>
      </x:c>
      <x:c r="W27" s="162" t="str">
        <x:v>14–26 h</x:v>
      </x:c>
      <x:c r="X27" s="163" t="n">
        <x:v>9</x:v>
      </x:c>
      <x:c r="Y27" s="163" t="n">
        <x:v>7.5</x:v>
      </x:c>
      <x:c r="Z27" s="163" t="n">
        <x:v>9</x:v>
      </x:c>
      <x:c r="AA27" s="162" t="str">
        <x:v>Run transparent desk-based experiments and distinguish personal results from general evidence.</x:v>
      </x:c>
      <x:c r="AB27" s="162" t="str">
        <x:v>Predefine method, show data and cite research; disclose sponsor influence.</x:v>
      </x:c>
      <x:c r="AC27" s="162" t="str">
        <x:v>Generic listicles, fake experiments and unsupported universal advice</x:v>
      </x:c>
      <x:c r="AD27" s="164" t="n">
        <x:f>'Matrix'!AA27</x:f>
        <x:v>8.853333333333333</x:v>
      </x:c>
      <x:c r="AE27" s="162" t="n">
        <x:f>'Matrix'!AB27</x:f>
        <x:v>20</x:v>
      </x:c>
    </x:row>
    <x:row r="28">
      <x:c r="A28" s="162" t="n">
        <x:v>27</x:v>
      </x:c>
      <x:c r="B28" s="162" t="str">
        <x:v>Economia e negócios</x:v>
      </x:c>
      <x:c r="C28" s="162" t="str">
        <x:v>Economics of everyday industries</x:v>
      </x:c>
      <x:c r="D28" s="162" t="str">
        <x:v>Broad business and consumer audience</x:v>
      </x:c>
      <x:c r="E28" s="162" t="str">
        <x:v>Understand why ordinary products cost and work the way they do</x:v>
      </x:c>
      <x:c r="F28" s="162" t="str">
        <x:v>Why Laundromats Still Exist • The Strange Economics of Self-Storage • How Funeral Homes Make Money</x:v>
      </x:c>
      <x:c r="G28" s="162" t="str">
        <x:v>Industry value-chain explainer</x:v>
      </x:c>
      <x:c r="H28" s="162" t="str">
        <x:v>14–24 min</x:v>
      </x:c>
      <x:c r="I28" s="162" t="str">
        <x:v>3/month</x:v>
      </x:c>
      <x:c r="J28" s="162" t="n">
        <x:v>9</x:v>
      </x:c>
      <x:c r="K28" s="162" t="n">
        <x:v>8</x:v>
      </x:c>
      <x:c r="L28" s="162" t="str">
        <x:v>Low–medium</x:v>
      </x:c>
      <x:c r="M28" s="162" t="n">
        <x:v>8.5</x:v>
      </x:c>
      <x:c r="N28" s="162" t="str">
        <x:v>High</x:v>
      </x:c>
      <x:c r="O28" s="162" t="n">
        <x:v>9</x:v>
      </x:c>
      <x:c r="P28" s="162" t="str">
        <x:v>High</x:v>
      </x:c>
      <x:c r="Q28" s="162" t="str">
        <x:v>B2B software, finance, marketplaces, education</x:v>
      </x:c>
      <x:c r="R28" s="162" t="str">
        <x:v>High</x:v>
      </x:c>
      <x:c r="S28" s="162" t="str">
        <x:v>Low–medium</x:v>
      </x:c>
      <x:c r="T28" s="162" t="str">
        <x:v>Low</x:v>
      </x:c>
      <x:c r="U28" s="162" t="str">
        <x:v>Medium</x:v>
      </x:c>
      <x:c r="V28" s="162" t="str">
        <x:v>Medium</x:v>
      </x:c>
      <x:c r="W28" s="162" t="str">
        <x:v>18–30 h</x:v>
      </x:c>
      <x:c r="X28" s="163" t="n">
        <x:v>9</x:v>
      </x:c>
      <x:c r="Y28" s="163" t="n">
        <x:v>9.5</x:v>
      </x:c>
      <x:c r="Z28" s="163" t="n">
        <x:v>9</x:v>
      </x:c>
      <x:c r="AA28" s="162" t="str">
        <x:v>Take an overlooked industry and expose its margins, constraints, customer behavior and consolidation.</x:v>
      </x:c>
      <x:c r="AB28" s="162" t="str">
        <x:v>Industry associations, filings, public price data and original value-chain diagrams.</x:v>
      </x:c>
      <x:c r="AC28" s="162" t="str">
        <x:v>Private-company estimates and accidental financial advice</x:v>
      </x:c>
      <x:c r="AD28" s="164" t="n">
        <x:f>'Matrix'!AA28</x:f>
        <x:v>9.076666666666668</x:v>
      </x:c>
      <x:c r="AE28" s="162" t="n">
        <x:f>'Matrix'!AB28</x:f>
        <x:v>7</x:v>
      </x:c>
    </x:row>
    <x:row r="29">
      <x:c r="A29" s="162" t="n">
        <x:v>28</x:v>
      </x:c>
      <x:c r="B29" s="162" t="str">
        <x:v>Economia e geopolítica</x:v>
      </x:c>
      <x:c r="C29" s="162" t="str">
        <x:v>Geopolitical infrastructure and trade routes</x:v>
      </x:c>
      <x:c r="D29" s="162" t="str">
        <x:v>News-aware adults, students and international audiences</x:v>
      </x:c>
      <x:c r="E29" s="162" t="str">
        <x:v>Understand strategic geography without daily-news noise</x:v>
      </x:c>
      <x:c r="F29" s="162" t="str">
        <x:v>Why This Strait Matters to Five Economies • The Rail Corridor Rewriting a Border Region • Who Controls the Cables Beneath the Sea</x:v>
      </x:c>
      <x:c r="G29" s="162" t="str">
        <x:v>Map narrative + infrastructure case study</x:v>
      </x:c>
      <x:c r="H29" s="162" t="str">
        <x:v>16–28 min</x:v>
      </x:c>
      <x:c r="I29" s="162" t="str">
        <x:v>2/month</x:v>
      </x:c>
      <x:c r="J29" s="162" t="n">
        <x:v>10</x:v>
      </x:c>
      <x:c r="K29" s="162" t="n">
        <x:v>9</x:v>
      </x:c>
      <x:c r="L29" s="162" t="str">
        <x:v>Medium</x:v>
      </x:c>
      <x:c r="M29" s="162" t="n">
        <x:v>7</x:v>
      </x:c>
      <x:c r="N29" s="162" t="str">
        <x:v>Very high</x:v>
      </x:c>
      <x:c r="O29" s="162" t="n">
        <x:v>9</x:v>
      </x:c>
      <x:c r="P29" s="162" t="str">
        <x:v>High</x:v>
      </x:c>
      <x:c r="Q29" s="162" t="str">
        <x:v>Business, education, risk intelligence, logistics</x:v>
      </x:c>
      <x:c r="R29" s="162" t="str">
        <x:v>Low–medium</x:v>
      </x:c>
      <x:c r="S29" s="162" t="str">
        <x:v>Medium</x:v>
      </x:c>
      <x:c r="T29" s="162" t="str">
        <x:v>High</x:v>
      </x:c>
      <x:c r="U29" s="162" t="str">
        <x:v>High</x:v>
      </x:c>
      <x:c r="V29" s="162" t="str">
        <x:v>Very high</x:v>
      </x:c>
      <x:c r="W29" s="162" t="str">
        <x:v>26–46 h</x:v>
      </x:c>
      <x:c r="X29" s="163" t="n">
        <x:v>8.125</x:v>
      </x:c>
      <x:c r="Y29" s="163" t="n">
        <x:v>9</x:v>
      </x:c>
      <x:c r="Z29" s="163" t="n">
        <x:v>6.5</x:v>
      </x:c>
      <x:c r="AA29" s="162" t="str">
        <x:v>Anchor geopolitics in physical networks and multiple-source evidence, not prediction theater.</x:v>
      </x:c>
      <x:c r="AB29" s="162" t="str">
        <x:v>Official trade data, maps, treaties, think tanks across perspectives and strong fact-checking.</x:v>
      </x:c>
      <x:c r="AC29" s="162" t="str">
        <x:v>Conflict sensitivity, misinformation, sanctions, map disputes and rapid change</x:v>
      </x:c>
      <x:c r="AD29" s="164" t="n">
        <x:f>'Matrix'!AA29</x:f>
        <x:v>8.474166666666667</x:v>
      </x:c>
      <x:c r="AE29" s="162" t="n">
        <x:f>'Matrix'!AB29</x:f>
        <x:v>30</x:v>
      </x:c>
    </x:row>
    <x:row r="30">
      <x:c r="A30" s="162" t="n">
        <x:v>29</x:v>
      </x:c>
      <x:c r="B30" s="162" t="str">
        <x:v>Aviação</x:v>
      </x:c>
      <x:c r="C30" s="162" t="str">
        <x:v>Aviation systems and incident lessons</x:v>
      </x:c>
      <x:c r="D30" s="162" t="str">
        <x:v>Aviation enthusiasts, travelers and engineering audiences</x:v>
      </x:c>
      <x:c r="E30" s="162" t="str">
        <x:v>Understand complex safety systems and lessons from failures</x:v>
      </x:c>
      <x:c r="F30" s="162" t="str">
        <x:v>How Runway Incursions Are Prevented • Why Airliners Carry Multiple Computers • What an Investigation Can—and Cannot—Prove</x:v>
      </x:c>
      <x:c r="G30" s="162" t="str">
        <x:v>System anatomy or investigation-based lesson</x:v>
      </x:c>
      <x:c r="H30" s="162" t="str">
        <x:v>16–28 min</x:v>
      </x:c>
      <x:c r="I30" s="162" t="str">
        <x:v>2/month</x:v>
      </x:c>
      <x:c r="J30" s="162" t="n">
        <x:v>10</x:v>
      </x:c>
      <x:c r="K30" s="162" t="n">
        <x:v>8</x:v>
      </x:c>
      <x:c r="L30" s="162" t="str">
        <x:v>Medium–high</x:v>
      </x:c>
      <x:c r="M30" s="162" t="n">
        <x:v>7</x:v>
      </x:c>
      <x:c r="N30" s="162" t="str">
        <x:v>Very high</x:v>
      </x:c>
      <x:c r="O30" s="162" t="n">
        <x:v>9.5</x:v>
      </x:c>
      <x:c r="P30" s="162" t="str">
        <x:v>High</x:v>
      </x:c>
      <x:c r="Q30" s="162" t="str">
        <x:v>Aviation training, travel tech, education</x:v>
      </x:c>
      <x:c r="R30" s="162" t="str">
        <x:v>Medium</x:v>
      </x:c>
      <x:c r="S30" s="162" t="str">
        <x:v>Medium–high footage/audio rights</x:v>
      </x:c>
      <x:c r="T30" s="162" t="str">
        <x:v>High for fatal accidents</x:v>
      </x:c>
      <x:c r="U30" s="162" t="str">
        <x:v>High</x:v>
      </x:c>
      <x:c r="V30" s="162" t="str">
        <x:v>Very high</x:v>
      </x:c>
      <x:c r="W30" s="162" t="str">
        <x:v>28–50 h</x:v>
      </x:c>
      <x:c r="X30" s="163" t="n">
        <x:v>8.25</x:v>
      </x:c>
      <x:c r="Y30" s="163" t="n">
        <x:v>8</x:v>
      </x:c>
      <x:c r="Z30" s="163" t="n">
        <x:v>6.5</x:v>
      </x:c>
      <x:c r="AA30" s="162" t="str">
        <x:v>Prioritize safety systems and official findings; never recreate uncertainty as fact.</x:v>
      </x:c>
      <x:c r="AB30" s="162" t="str">
        <x:v>NTSB/AAIB/TSB reports, manufacturer manuals and aviation expert review.</x:v>
      </x:c>
      <x:c r="AC30" s="162" t="str">
        <x:v>Tragedy monetization, cockpit audio rights, active cases and speculative blame</x:v>
      </x:c>
      <x:c r="AD30" s="164" t="n">
        <x:f>'Matrix'!AA30</x:f>
        <x:v>8.351666666666667</x:v>
      </x:c>
      <x:c r="AE30" s="162" t="n">
        <x:f>'Matrix'!AB30</x:f>
        <x:v>35</x:v>
      </x:c>
    </x:row>
    <x:row r="31">
      <x:c r="A31" s="162" t="n">
        <x:v>30</x:v>
      </x:c>
      <x:c r="B31" s="162" t="str">
        <x:v>Transporte e indústria</x:v>
      </x:c>
      <x:c r="C31" s="162" t="str">
        <x:v>Rail, shipping and transport technology</x:v>
      </x:c>
      <x:c r="D31" s="162" t="str">
        <x:v>Transport enthusiasts, engineers and globally curious adults</x:v>
      </x:c>
      <x:c r="E31" s="162" t="str">
        <x:v>Understand machines and networks that move the world</x:v>
      </x:c>
      <x:c r="F31" s="162" t="str">
        <x:v>Why Freight Trains Need Distributed Power • Inside a Container Ship's Loading Plan • How High-Speed Rail Handles Crosswinds</x:v>
      </x:c>
      <x:c r="G31" s="162" t="str">
        <x:v>How-it-works + network context</x:v>
      </x:c>
      <x:c r="H31" s="162" t="str">
        <x:v>12–24 min</x:v>
      </x:c>
      <x:c r="I31" s="162" t="str">
        <x:v>3/month</x:v>
      </x:c>
      <x:c r="J31" s="162" t="n">
        <x:v>10</x:v>
      </x:c>
      <x:c r="K31" s="162" t="n">
        <x:v>9</x:v>
      </x:c>
      <x:c r="L31" s="162" t="str">
        <x:v>Medium</x:v>
      </x:c>
      <x:c r="M31" s="162" t="n">
        <x:v>8.5</x:v>
      </x:c>
      <x:c r="N31" s="162" t="str">
        <x:v>High</x:v>
      </x:c>
      <x:c r="O31" s="162" t="n">
        <x:v>8.5</x:v>
      </x:c>
      <x:c r="P31" s="162" t="str">
        <x:v>High</x:v>
      </x:c>
      <x:c r="Q31" s="162" t="str">
        <x:v>Mobility, logistics, engineering, travel</x:v>
      </x:c>
      <x:c r="R31" s="162" t="str">
        <x:v>Medium</x:v>
      </x:c>
      <x:c r="S31" s="162" t="str">
        <x:v>Low–medium</x:v>
      </x:c>
      <x:c r="T31" s="162" t="str">
        <x:v>Low</x:v>
      </x:c>
      <x:c r="U31" s="162" t="str">
        <x:v>Medium</x:v>
      </x:c>
      <x:c r="V31" s="162" t="str">
        <x:v>Medium</x:v>
      </x:c>
      <x:c r="W31" s="162" t="str">
        <x:v>18–32 h</x:v>
      </x:c>
      <x:c r="X31" s="163" t="n">
        <x:v>9</x:v>
      </x:c>
      <x:c r="Y31" s="163" t="n">
        <x:v>8</x:v>
      </x:c>
      <x:c r="Z31" s="163" t="n">
        <x:v>9.5</x:v>
      </x:c>
      <x:c r="AA31" s="162" t="str">
        <x:v>Combine machine mechanics with network economics and operating constraints.</x:v>
      </x:c>
      <x:c r="AB31" s="162" t="str">
        <x:v>Operator documents, standards, patents and technical sources.</x:v>
      </x:c>
      <x:c r="AC31" s="162" t="str">
        <x:v>Proprietary footage and unsafe operational detail</x:v>
      </x:c>
      <x:c r="AD31" s="164" t="n">
        <x:f>'Matrix'!AA31</x:f>
        <x:v>8.81</x:v>
      </x:c>
      <x:c r="AE31" s="162" t="n">
        <x:f>'Matrix'!AB31</x:f>
        <x:v>25</x:v>
      </x:c>
    </x:row>
    <x:row r="32">
      <x:c r="A32" s="162" t="n">
        <x:v>31</x:v>
      </x:c>
      <x:c r="B32" s="162" t="str">
        <x:v>Esportes</x:v>
      </x:c>
      <x:c r="C32" s="162" t="str">
        <x:v>Sports business and venue economics</x:v>
      </x:c>
      <x:c r="D32" s="162" t="str">
        <x:v>Sports fans, marketers and business audiences</x:v>
      </x:c>
      <x:c r="E32" s="162" t="str">
        <x:v>Understand money, infrastructure and strategy beyond highlights</x:v>
      </x:c>
      <x:c r="F32" s="162" t="str">
        <x:v>Why Stadiums Keep Adding Premium Seats • The Business Model Behind Formula 1 Logistics • How Salary Caps Change Team Strategy</x:v>
      </x:c>
      <x:c r="G32" s="162" t="str">
        <x:v>Business case study with original diagrams</x:v>
      </x:c>
      <x:c r="H32" s="162" t="str">
        <x:v>14–24 min</x:v>
      </x:c>
      <x:c r="I32" s="162" t="str">
        <x:v>2–3/month</x:v>
      </x:c>
      <x:c r="J32" s="162" t="n">
        <x:v>9</x:v>
      </x:c>
      <x:c r="K32" s="162" t="n">
        <x:v>7</x:v>
      </x:c>
      <x:c r="L32" s="162" t="str">
        <x:v>High temptation to use broadcast footage</x:v>
      </x:c>
      <x:c r="M32" s="162" t="n">
        <x:v>7</x:v>
      </x:c>
      <x:c r="N32" s="162" t="str">
        <x:v>Very high</x:v>
      </x:c>
      <x:c r="O32" s="162" t="n">
        <x:v>9</x:v>
      </x:c>
      <x:c r="P32" s="162" t="str">
        <x:v>High</x:v>
      </x:c>
      <x:c r="Q32" s="162" t="str">
        <x:v>Sports tech, finance, ticketing, education</x:v>
      </x:c>
      <x:c r="R32" s="162" t="str">
        <x:v>High</x:v>
      </x:c>
      <x:c r="S32" s="162" t="str">
        <x:v>High</x:v>
      </x:c>
      <x:c r="T32" s="162" t="str">
        <x:v>Medium</x:v>
      </x:c>
      <x:c r="U32" s="162" t="str">
        <x:v>Medium</x:v>
      </x:c>
      <x:c r="V32" s="162" t="str">
        <x:v>High</x:v>
      </x:c>
      <x:c r="W32" s="162" t="str">
        <x:v>22–40 h</x:v>
      </x:c>
      <x:c r="X32" s="163" t="n">
        <x:v>8.25</x:v>
      </x:c>
      <x:c r="Y32" s="163" t="n">
        <x:v>9</x:v>
      </x:c>
      <x:c r="Z32" s="163" t="n">
        <x:v>6.5</x:v>
      </x:c>
      <x:c r="AA32" s="162" t="str">
        <x:v>Treat sport as an operating business and use original visuals instead of highlight dependence.</x:v>
      </x:c>
      <x:c r="AB32" s="162" t="str">
        <x:v>League rules, filings, venue documents and rights-cleared stills.</x:v>
      </x:c>
      <x:c r="AC32" s="162" t="str">
        <x:v>Broadcast copyright, gambling adjacency and contentious athlete claims</x:v>
      </x:c>
      <x:c r="AD32" s="164" t="n">
        <x:f>'Matrix'!AA32</x:f>
        <x:v>8.278333333333332</x:v>
      </x:c>
      <x:c r="AE32" s="162" t="n">
        <x:f>'Matrix'!AB32</x:f>
        <x:v>36</x:v>
      </x:c>
    </x:row>
    <x:row r="33">
      <x:c r="A33" s="162" t="n">
        <x:v>32</x:v>
      </x:c>
      <x:c r="B33" s="162" t="str">
        <x:v>Arquitetura e construção</x:v>
      </x:c>
      <x:c r="C33" s="162" t="str">
        <x:v>Architecture and building technology</x:v>
      </x:c>
      <x:c r="D33" s="162" t="str">
        <x:v>Architecture fans, homeowners, students and engineers</x:v>
      </x:c>
      <x:c r="E33" s="162" t="str">
        <x:v>See why buildings look and behave as they do</x:v>
      </x:c>
      <x:c r="F33" s="162" t="str">
        <x:v>Why Tall Buildings Need Giant Tuned Masses • How Glass Became a Structural System • The Hidden Life of a Building Facade</x:v>
      </x:c>
      <x:c r="G33" s="162" t="str">
        <x:v>Section-cut explainer + case study</x:v>
      </x:c>
      <x:c r="H33" s="162" t="str">
        <x:v>12–24 min</x:v>
      </x:c>
      <x:c r="I33" s="162" t="str">
        <x:v>3/month</x:v>
      </x:c>
      <x:c r="J33" s="162" t="n">
        <x:v>10</x:v>
      </x:c>
      <x:c r="K33" s="162" t="n">
        <x:v>9</x:v>
      </x:c>
      <x:c r="L33" s="162" t="str">
        <x:v>Medium</x:v>
      </x:c>
      <x:c r="M33" s="162" t="n">
        <x:v>8.5</x:v>
      </x:c>
      <x:c r="N33" s="162" t="str">
        <x:v>High</x:v>
      </x:c>
      <x:c r="O33" s="162" t="n">
        <x:v>8.5</x:v>
      </x:c>
      <x:c r="P33" s="162" t="str">
        <x:v>High</x:v>
      </x:c>
      <x:c r="Q33" s="162" t="str">
        <x:v>Design software, construction, education, home tech</x:v>
      </x:c>
      <x:c r="R33" s="162" t="str">
        <x:v>Medium–high</x:v>
      </x:c>
      <x:c r="S33" s="162" t="str">
        <x:v>Low–medium</x:v>
      </x:c>
      <x:c r="T33" s="162" t="str">
        <x:v>Low</x:v>
      </x:c>
      <x:c r="U33" s="162" t="str">
        <x:v>Low</x:v>
      </x:c>
      <x:c r="V33" s="162" t="str">
        <x:v>Medium</x:v>
      </x:c>
      <x:c r="W33" s="162" t="str">
        <x:v>18–32 h</x:v>
      </x:c>
      <x:c r="X33" s="163" t="n">
        <x:v>9</x:v>
      </x:c>
      <x:c r="Y33" s="163" t="n">
        <x:v>9</x:v>
      </x:c>
      <x:c r="Z33" s="163" t="n">
        <x:v>9.5</x:v>
      </x:c>
      <x:c r="AA33" s="162" t="str">
        <x:v>Reveal structure, envelope, services and material choices through animated cutaways.</x:v>
      </x:c>
      <x:c r="AB33" s="162" t="str">
        <x:v>Architect/engineer sources, drawings with permissions and technical references.</x:v>
      </x:c>
      <x:c r="AC33" s="162" t="str">
        <x:v>Using copyrighted architectural photography without permission</x:v>
      </x:c>
      <x:c r="AD33" s="164" t="n">
        <x:f>'Matrix'!AA33</x:f>
        <x:v>8.976666666666667</x:v>
      </x:c>
      <x:c r="AE33" s="162" t="n">
        <x:f>'Matrix'!AB33</x:f>
        <x:v>15</x:v>
      </x:c>
    </x:row>
    <x:row r="34">
      <x:c r="A34" s="162" t="n">
        <x:v>33</x:v>
      </x:c>
      <x:c r="B34" s="162" t="str">
        <x:v>Ciência e indústria</x:v>
      </x:c>
      <x:c r="C34" s="162" t="str">
        <x:v>Food systems and industrial science</x:v>
      </x:c>
      <x:c r="D34" s="162" t="str">
        <x:v>Curious consumers, science viewers and business audiences</x:v>
      </x:c>
      <x:c r="E34" s="162" t="str">
        <x:v>Understand how food is scaled, preserved and distributed</x:v>
      </x:c>
      <x:c r="F34" s="162" t="str">
        <x:v>Why Frozen Food Needs a Faster Clock • The Engineering Behind Shelf-Stable Milk • How a Bakery Becomes a Factory</x:v>
      </x:c>
      <x:c r="G34" s="162" t="str">
        <x:v>Process journey + chemistry explainer</x:v>
      </x:c>
      <x:c r="H34" s="162" t="str">
        <x:v>12–22 min</x:v>
      </x:c>
      <x:c r="I34" s="162" t="str">
        <x:v>3/month</x:v>
      </x:c>
      <x:c r="J34" s="162" t="n">
        <x:v>9</x:v>
      </x:c>
      <x:c r="K34" s="162" t="n">
        <x:v>9</x:v>
      </x:c>
      <x:c r="L34" s="162" t="str">
        <x:v>Medium</x:v>
      </x:c>
      <x:c r="M34" s="162" t="n">
        <x:v>8.5</x:v>
      </x:c>
      <x:c r="N34" s="162" t="str">
        <x:v>High</x:v>
      </x:c>
      <x:c r="O34" s="162" t="n">
        <x:v>8.5</x:v>
      </x:c>
      <x:c r="P34" s="162" t="str">
        <x:v>High</x:v>
      </x:c>
      <x:c r="Q34" s="162" t="str">
        <x:v>Food tech, kitchen tools, education, logistics</x:v>
      </x:c>
      <x:c r="R34" s="162" t="str">
        <x:v>High</x:v>
      </x:c>
      <x:c r="S34" s="162" t="str">
        <x:v>Low–medium</x:v>
      </x:c>
      <x:c r="T34" s="162" t="str">
        <x:v>Low</x:v>
      </x:c>
      <x:c r="U34" s="162" t="str">
        <x:v>Medium health claims</x:v>
      </x:c>
      <x:c r="V34" s="162" t="str">
        <x:v>Medium</x:v>
      </x:c>
      <x:c r="W34" s="162" t="str">
        <x:v>16–28 h</x:v>
      </x:c>
      <x:c r="X34" s="163" t="n">
        <x:v>9.125</x:v>
      </x:c>
      <x:c r="Y34" s="163" t="n">
        <x:v>9</x:v>
      </x:c>
      <x:c r="Z34" s="163" t="n">
        <x:v>8.5</x:v>
      </x:c>
      <x:c r="AA34" s="162" t="str">
        <x:v>Explain scale, safety, chemistry and trade-offs without fear-based ingredient content.</x:v>
      </x:c>
      <x:c r="AB34" s="162" t="str">
        <x:v>Regulators, food science sources and manufacturer process documentation.</x:v>
      </x:c>
      <x:c r="AC34" s="162" t="str">
        <x:v>Health claims, brand footage and food-safety oversimplification</x:v>
      </x:c>
      <x:c r="AD34" s="164" t="n">
        <x:f>'Matrix'!AA34</x:f>
        <x:v>8.875833333333334</x:v>
      </x:c>
      <x:c r="AE34" s="162" t="n">
        <x:f>'Matrix'!AB34</x:f>
        <x:v>18</x:v>
      </x:c>
    </x:row>
    <x:row r="35">
      <x:c r="A35" s="162" t="n">
        <x:v>34</x:v>
      </x:c>
      <x:c r="B35" s="162" t="str">
        <x:v>Educação e explicadores</x:v>
      </x:c>
      <x:c r="C35" s="162" t="str">
        <x:v>Standards, codes and safety systems</x:v>
      </x:c>
      <x:c r="D35" s="162" t="str">
        <x:v>Engineers, operators, students and curious adults</x:v>
      </x:c>
      <x:c r="E35" s="162" t="str">
        <x:v>Learn why invisible rules exist and what failures taught us</x:v>
      </x:c>
      <x:c r="F35" s="162" t="str">
        <x:v>Why Every Shipping Container Has the Same Corners • The Code Behind Emergency Exit Signs • How Time Became a Global Standard</x:v>
      </x:c>
      <x:c r="G35" s="162" t="str">
        <x:v>Origin story + system map + failure lesson</x:v>
      </x:c>
      <x:c r="H35" s="162" t="str">
        <x:v>12–22 min</x:v>
      </x:c>
      <x:c r="I35" s="162" t="str">
        <x:v>3/month</x:v>
      </x:c>
      <x:c r="J35" s="162" t="n">
        <x:v>10</x:v>
      </x:c>
      <x:c r="K35" s="162" t="n">
        <x:v>8</x:v>
      </x:c>
      <x:c r="L35" s="162" t="str">
        <x:v>Low</x:v>
      </x:c>
      <x:c r="M35" s="162" t="n">
        <x:v>9</x:v>
      </x:c>
      <x:c r="N35" s="162" t="str">
        <x:v>Medium</x:v>
      </x:c>
      <x:c r="O35" s="162" t="n">
        <x:v>8.5</x:v>
      </x:c>
      <x:c r="P35" s="162" t="str">
        <x:v>High</x:v>
      </x:c>
      <x:c r="Q35" s="162" t="str">
        <x:v>Compliance software, education, industrial tech</x:v>
      </x:c>
      <x:c r="R35" s="162" t="str">
        <x:v>Medium</x:v>
      </x:c>
      <x:c r="S35" s="162" t="str">
        <x:v>Low</x:v>
      </x:c>
      <x:c r="T35" s="162" t="str">
        <x:v>Low</x:v>
      </x:c>
      <x:c r="U35" s="162" t="str">
        <x:v>Low</x:v>
      </x:c>
      <x:c r="V35" s="162" t="str">
        <x:v>Medium</x:v>
      </x:c>
      <x:c r="W35" s="162" t="str">
        <x:v>16–30 h</x:v>
      </x:c>
      <x:c r="X35" s="163" t="n">
        <x:v>9.375</x:v>
      </x:c>
      <x:c r="Y35" s="163" t="n">
        <x:v>9.5</x:v>
      </x:c>
      <x:c r="Z35" s="163" t="n">
        <x:v>10</x:v>
      </x:c>
      <x:c r="AA35" s="162" t="str">
        <x:v>Turn a mundane standard into a story of coordination, safety and economic leverage.</x:v>
      </x:c>
      <x:c r="AB35" s="162" t="str">
        <x:v>Standards bodies, regulators, patents and historical archives.</x:v>
      </x:c>
      <x:c r="AC35" s="162" t="str">
        <x:v>Paywalled standards and jurisdiction-specific claims</x:v>
      </x:c>
      <x:c r="AD35" s="164" t="n">
        <x:f>'Matrix'!AA35</x:f>
        <x:v>9.017499999999998</x:v>
      </x:c>
      <x:c r="AE35" s="162" t="n">
        <x:f>'Matrix'!AB35</x:f>
        <x:v>12</x:v>
      </x:c>
    </x:row>
    <x:row r="36">
      <x:c r="A36" s="162" t="n">
        <x:v>35</x:v>
      </x:c>
      <x:c r="B36" s="162" t="str">
        <x:v>Ciência e mistérios</x:v>
      </x:c>
      <x:c r="C36" s="162" t="str">
        <x:v>Scientific mysteries solved with evidence</x:v>
      </x:c>
      <x:c r="D36" s="162" t="str">
        <x:v>General documentary and science audiences</x:v>
      </x:c>
      <x:c r="E36" s="162" t="str">
        <x:v>Experience mystery while learning how evidence resolves it</x:v>
      </x:c>
      <x:c r="F36" s="162" t="str">
        <x:v>The Sound Scientists Could Not Place • How a Ghost Island Disappeared from Maps • The Signal That Wasn't Aliens</x:v>
      </x:c>
      <x:c r="G36" s="162" t="str">
        <x:v>Mystery hook + hypothesis testing + resolution</x:v>
      </x:c>
      <x:c r="H36" s="162" t="str">
        <x:v>14–24 min</x:v>
      </x:c>
      <x:c r="I36" s="162" t="str">
        <x:v>3/month</x:v>
      </x:c>
      <x:c r="J36" s="162" t="n">
        <x:v>10</x:v>
      </x:c>
      <x:c r="K36" s="162" t="n">
        <x:v>9</x:v>
      </x:c>
      <x:c r="L36" s="162" t="str">
        <x:v>Low–medium</x:v>
      </x:c>
      <x:c r="M36" s="162" t="n">
        <x:v>8.5</x:v>
      </x:c>
      <x:c r="N36" s="162" t="str">
        <x:v>High</x:v>
      </x:c>
      <x:c r="O36" s="162" t="n">
        <x:v>9.5</x:v>
      </x:c>
      <x:c r="P36" s="162" t="str">
        <x:v>High</x:v>
      </x:c>
      <x:c r="Q36" s="162" t="str">
        <x:v>Education, science tools, books</x:v>
      </x:c>
      <x:c r="R36" s="162" t="str">
        <x:v>Medium</x:v>
      </x:c>
      <x:c r="S36" s="162" t="str">
        <x:v>Low–medium</x:v>
      </x:c>
      <x:c r="T36" s="162" t="str">
        <x:v>Low</x:v>
      </x:c>
      <x:c r="U36" s="162" t="str">
        <x:v>Medium</x:v>
      </x:c>
      <x:c r="V36" s="162" t="str">
        <x:v>High</x:v>
      </x:c>
      <x:c r="W36" s="162" t="str">
        <x:v>20–34 h</x:v>
      </x:c>
      <x:c r="X36" s="163" t="n">
        <x:v>9</x:v>
      </x:c>
      <x:c r="Y36" s="163" t="n">
        <x:v>9</x:v>
      </x:c>
      <x:c r="Z36" s="163" t="n">
        <x:v>9</x:v>
      </x:c>
      <x:c r="AA36" s="162" t="str">
        <x:v>Use suspense from competing hypotheses, then show the decisive evidence and residual uncertainty.</x:v>
      </x:c>
      <x:c r="AB36" s="162" t="str">
        <x:v>Primary papers, institutional investigations and clear evidence grading.</x:v>
      </x:c>
      <x:c r="AC36" s="162" t="str">
        <x:v>Clickbait that overstates mystery or hides known explanations</x:v>
      </x:c>
      <x:c r="AD36" s="164" t="n">
        <x:f>'Matrix'!AA36</x:f>
        <x:v>9.045</x:v>
      </x:c>
      <x:c r="AE36" s="162" t="n">
        <x:f>'Matrix'!AB36</x:f>
        <x:v>9</x:v>
      </x:c>
    </x:row>
    <x:row r="37">
      <x:c r="A37" s="165" t="n">
        <x:v>36</x:v>
      </x:c>
      <x:c r="B37" s="165" t="str">
        <x:v>Tecnologia e história</x:v>
      </x:c>
      <x:c r="C37" s="165" t="str">
        <x:v>Failed products and technology dead ends</x:v>
      </x:c>
      <x:c r="D37" s="165" t="str">
        <x:v>Tech fans, designers and business audiences</x:v>
      </x:c>
      <x:c r="E37" s="165" t="str">
        <x:v>Learn from ambitious products that failed for non-obvious reasons</x:v>
      </x:c>
      <x:c r="F37" s="165" t="str">
        <x:v>Why 3D Television Collapsed • The Battery Swap Network That Arrived Too Early • How MiniDisc Lost Despite Being Good</x:v>
      </x:c>
      <x:c r="G37" s="165" t="str">
        <x:v>Product autopsy: need, technology, ecosystem, timing</x:v>
      </x:c>
      <x:c r="H37" s="165" t="str">
        <x:v>14–24 min</x:v>
      </x:c>
      <x:c r="I37" s="165" t="str">
        <x:v>3/month</x:v>
      </x:c>
      <x:c r="J37" s="165" t="n">
        <x:v>9</x:v>
      </x:c>
      <x:c r="K37" s="165" t="n">
        <x:v>8</x:v>
      </x:c>
      <x:c r="L37" s="165" t="str">
        <x:v>Medium archival/product media</x:v>
      </x:c>
      <x:c r="M37" s="165" t="n">
        <x:v>8</x:v>
      </x:c>
      <x:c r="N37" s="165" t="str">
        <x:v>High</x:v>
      </x:c>
      <x:c r="O37" s="165" t="n">
        <x:v>9</x:v>
      </x:c>
      <x:c r="P37" s="165" t="str">
        <x:v>High</x:v>
      </x:c>
      <x:c r="Q37" s="165" t="str">
        <x:v>Consumer tech, design tools, education, software</x:v>
      </x:c>
      <x:c r="R37" s="165" t="str">
        <x:v>High</x:v>
      </x:c>
      <x:c r="S37" s="165" t="str">
        <x:v>Medium</x:v>
      </x:c>
      <x:c r="T37" s="165" t="str">
        <x:v>Low</x:v>
      </x:c>
      <x:c r="U37" s="165" t="str">
        <x:v>Medium</x:v>
      </x:c>
      <x:c r="V37" s="165" t="str">
        <x:v>Medium</x:v>
      </x:c>
      <x:c r="W37" s="165" t="str">
        <x:v>18–32 h</x:v>
      </x:c>
      <x:c r="X37" s="166" t="n">
        <x:v>8.875</x:v>
      </x:c>
      <x:c r="Y37" s="166" t="n">
        <x:v>9.5</x:v>
      </x:c>
      <x:c r="Z37" s="166" t="n">
        <x:v>8.5</x:v>
      </x:c>
      <x:c r="AA37" s="165" t="str">
        <x:v>Separate product quality from ecosystem, timing, distribution and business-model failure.</x:v>
      </x:c>
      <x:c r="AB37" s="165" t="str">
        <x:v>Contemporaneous reviews, patents, company records and original diagrams.</x:v>
      </x:c>
      <x:c r="AC37" s="165" t="str">
        <x:v>Archive copyright and hindsight bias</x:v>
      </x:c>
      <x:c r="AD37" s="167" t="n">
        <x:f>'Matrix'!AA37</x:f>
        <x:v>8.920833333333334</x:v>
      </x:c>
      <x:c r="AE37" s="165" t="n">
        <x:f>'Matrix'!AB37</x:f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0a2aa45b97fd46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1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</x:cols>
  <x:sheetData>
    <x:row r="1" ht="48" customHeight="1">
      <x:c r="A1" s="16" t="str">
        <x:v>Rank</x:v>
      </x:c>
      <x:c r="B1" s="16" t="str">
        <x:v>Niche</x:v>
      </x:c>
      <x:c r="C1" s="16" t="str">
        <x:v>Score</x:v>
      </x:c>
      <x:c r="D1" s="16" t="str">
        <x:v>Why it can work</x:v>
      </x:c>
      <x:c r="E1" s="16" t="str">
        <x:v>Why it can fail</x:v>
      </x:c>
      <x:c r="F1" s="16" t="str">
        <x:v>Editorial positioning</x:v>
      </x:c>
      <x:c r="G1" s="16" t="str">
        <x:v>Central promise</x:v>
      </x:c>
      <x:c r="H1" s="16" t="str">
        <x:v>Differential</x:v>
      </x:c>
      <x:c r="I1" s="16" t="str">
        <x:v>Avoid</x:v>
      </x:c>
      <x:c r="J1" s="16" t="str">
        <x:v>Anti-mass-production</x:v>
      </x:c>
      <x:c r="K1" s="16" t="str">
        <x:v>Human research</x:v>
      </x:c>
      <x:c r="L1" s="16" t="str">
        <x:v>Automate</x:v>
      </x:c>
      <x:c r="M1" s="16" t="str">
        <x:v>Human review</x:v>
      </x:c>
      <x:c r="N1" s="16" t="str">
        <x:v>Authority without appearing</x:v>
      </x:c>
      <x:c r="O1" s="16" t="str">
        <x:v>Trust without host</x:v>
      </x:c>
      <x:c r="P1" s="16" t="str">
        <x:v>Main monetization risks</x:v>
      </x:c>
    </x:row>
    <x:row r="2">
      <x:c r="A2" s="159" t="n">
        <x:v>1</x:v>
      </x:c>
      <x:c r="B2" s="159" t="str">
        <x:v>AI systems, economics and real-world constraints</x:v>
      </x:c>
      <x:c r="C2" s="161" t="n">
        <x:v>9.242500000000001</x:v>
      </x:c>
      <x:c r="D2" s="159" t="str">
        <x:v>Demanda excepcional, afinidade com IA generativa e grande potencial de patrocínio/afiliados.</x:v>
      </x:c>
      <x:c r="E2" s="159" t="str">
        <x:v>Falha se virar feed de lançamentos, hype ou benchmark recap; qualidade envelhece depressa.</x:v>
      </x:c>
      <x:c r="F2" s="159" t="str">
        <x:v>AI beyond the demo: compute, energy, economics and deployment.</x:v>
      </x:c>
      <x:c r="G2" s="159" t="str">
        <x:v>We explain what AI can do, what it costs and what must be true for it to matter.</x:v>
      </x:c>
      <x:c r="H2" s="159" t="str">
        <x:v>Cinco camadas recorrentes—energy, chips, cloud, models, applications—com data de corte.</x:v>
      </x:c>
      <x:c r="I2" s="159" t="str">
        <x:v>Rumores, AGI countdowns, “10 tools” e conselhos médicos/financeiros gerados por IA.</x:v>
      </x:c>
      <x:c r="J2" s="159" t="str">
        <x:v>Cada vídeo exige uma tese e evidência adversarial; sem template de notícia.</x:v>
      </x:c>
      <x:c r="K2" s="159" t="str">
        <x:v>Muito alto e contínuo: papers, system cards, benchmarks e fontes primárias.</x:v>
      </x:c>
      <x:c r="L2" s="159" t="str">
        <x:v>Digest inicial, extração de papers, experimentos reprodutíveis, gráficos e rough cut.</x:v>
      </x:c>
      <x:c r="M2" s="159" t="str">
        <x:v>Benchmarks, limitações, data de corte, claims de empresas e temas sensíveis.</x:v>
      </x:c>
      <x:c r="N2" s="159" t="str">
        <x:v>Reproduzir testes simples, publicar prompts/método e histórico de previsões.</x:v>
      </x:c>
      <x:c r="O2" s="159" t="str">
        <x:v>Datar todos os claims e separar measured, reported, inferred e forecast.</x:v>
      </x:c>
      <x:c r="P2" s="159" t="str">
        <x:v>Misinformation, obsolescência e conflitos com sponsors de AI tools.</x:v>
      </x:c>
    </x:row>
    <x:row r="3">
      <x:c r="A3" s="162" t="n">
        <x:v>2</x:v>
      </x:c>
      <x:c r="B3" s="162" t="str">
        <x:v>Semiconductors and compute infrastructure</x:v>
      </x:c>
      <x:c r="C3" s="164" t="n">
        <x:v>9.172500000000001</x:v>
      </x:c>
      <x:c r="D3" s="162" t="str">
        <x:v>Combina demanda de IA com um assunto evergreen e público B2B valioso.</x:v>
      </x:c>
      <x:c r="E3" s="162" t="str">
        <x:v>Falha se perseguir cada lançamento ou repetir marketing de fabricantes.</x:v>
      </x:c>
      <x:c r="F3" s="162" t="str">
        <x:v>The physical stack beneath the digital world.</x:v>
      </x:c>
      <x:c r="G3" s="162" t="str">
        <x:v>From atoms to data centers, every episode explains one bottleneck in modern computing.</x:v>
      </x:c>
      <x:c r="H3" s="162" t="str">
        <x:v>Integra física, fabricação, supply chain e economia em uma única tese visual.</x:v>
      </x:c>
      <x:c r="I3" s="162" t="str">
        <x:v>News recap, benchmark wars, rumor de produto e animações bonitas sem escala correta.</x:v>
      </x:c>
      <x:c r="J3" s="162" t="str">
        <x:v>Um gargalo central e um modelo visual exclusivo por vídeo; revisão técnica obrigatória.</x:v>
      </x:c>
      <x:c r="K3" s="162" t="str">
        <x:v>Alto: papers, documentação de fabricantes, conferências e filings.</x:v>
      </x:c>
      <x:c r="L3" s="162" t="str">
        <x:v>Glossário, extração de especificações, cronologia, pré-visualização 3D e edição base.</x:v>
      </x:c>
      <x:c r="M3" s="162" t="str">
        <x:v>Especificações, nós de processo, unidades, export controls e claims de performance.</x:v>
      </x:c>
      <x:c r="N3" s="162" t="str">
        <x:v>Technical review board freelance e notas de versão por vídeo.</x:v>
      </x:c>
      <x:c r="O3" s="162" t="str">
        <x:v>Datas visíveis, fontes primárias e correções de specs quando mudam.</x:v>
      </x:c>
      <x:c r="P3" s="162" t="str">
        <x:v>Obsolescência rápida e politização de export controls.</x:v>
      </x:c>
    </x:row>
    <x:row r="4">
      <x:c r="A4" s="162" t="n">
        <x:v>3</x:v>
      </x:c>
      <x:c r="B4" s="162" t="str">
        <x:v>Business models and competitive strategy</x:v>
      </x:c>
      <x:c r="C4" s="164" t="n">
        <x:v>9.161666666666669</x:v>
      </x:c>
      <x:c r="D4" s="162" t="str">
        <x:v>Une audiência adulta e comercialmente valiosa aceita vídeos de 20–30 minutos quando a pergunta é concreta e o modelo econômico é visualizado.</x:v>
      </x:c>
      <x:c r="E4" s="162" t="str">
        <x:v>Falha se virar biografia corporativa, resumo de notícias ou opinião de investimento sem base.</x:v>
      </x:c>
      <x:c r="F4" s="162" t="str">
        <x:v>The operating system behind famous companies.</x:v>
      </x:c>
      <x:c r="G4" s="162" t="str">
        <x:v>Every episode reverse-engineers how a company creates, captures and defends value.</x:v>
      </x:c>
      <x:c r="H4" s="162" t="str">
        <x:v>Diagramas próprios de cadeia de valor, incentivos e vulnerabilidades; mesma lente analítica aplicada a empresas muito diferentes.</x:v>
      </x:c>
      <x:c r="I4" s="162" t="str">
        <x:v>Listas de CEOs, leitura de earnings calls, previsões de ações e montagens de anúncios.</x:v>
      </x:c>
      <x:c r="J4" s="162" t="str">
        <x:v>Mudar a pergunta causal, a unidade de análise e o modelo visual em cada episódio; incluir uma contrateoria.</x:v>
      </x:c>
      <x:c r="K4" s="162" t="str">
        <x:v>Alto: leitura de filings, chamadas, relatórios regulatórios e triangulação de números privados.</x:v>
      </x:c>
      <x:c r="L4" s="162" t="str">
        <x:v>Coleta inicial, extração de filings, cronologia, primeiro rascunho de gráficos e rough cut.</x:v>
      </x:c>
      <x:c r="M4" s="162" t="str">
        <x:v>Todos os números, atribuições de causalidade, claims sobre executivos e uso de marcas/imagens.</x:v>
      </x:c>
      <x:c r="N4" s="162" t="str">
        <x:v>Publicar a metodologia, fontes na descrição e um quadro recorrente de assumptions vs. facts.</x:v>
      </x:c>
      <x:c r="O4" s="162" t="str">
        <x:v>Narração consistente, correções públicas, gráficos auditáveis e linguagem que separa fato de inferência.</x:v>
      </x:c>
      <x:c r="P4" s="162" t="str">
        <x:v>Reused brand footage, claims financeiros imprecisos e confusão com aconselhamento de investimento.</x:v>
      </x:c>
    </x:row>
    <x:row r="5">
      <x:c r="A5" s="162" t="n">
        <x:v>4</x:v>
      </x:c>
      <x:c r="B5" s="162" t="str">
        <x:v>Internet architecture and cloud systems</x:v>
      </x:c>
      <x:c r="C5" s="164" t="n">
        <x:v>9.138333333333332</x:v>
      </x:c>
      <x:c r="D5" s="162" t="str">
        <x:v>Forte valor comercial, baixa dependência de filmagem e excelente compatibilidade com motion.</x:v>
      </x:c>
      <x:c r="E5" s="162" t="str">
        <x:v>Falha se virar tutorial datado, propaganda de vendor ou explicação superficial.</x:v>
      </x:c>
      <x:c r="F5" s="162" t="str">
        <x:v>The internet made spatial, causal and human.</x:v>
      </x:c>
      <x:c r="G5" s="162" t="str">
        <x:v>Every episode follows data through the systems that move, store and protect it.</x:v>
      </x:c>
      <x:c r="H5" s="162" t="str">
        <x:v>Packet journeys, dependency graphs e postmortems transformados em narrativas.</x:v>
      </x:c>
      <x:c r="I5" s="162" t="str">
        <x:v>Tutoriais passo a passo de ataque, comparações patrocinadas não declaradas e glossários narrados.</x:v>
      </x:c>
      <x:c r="J5" s="162" t="str">
        <x:v>Cada sistema ganha topologia, incident path e trade-off próprios.</x:v>
      </x:c>
      <x:c r="K5" s="162" t="str">
        <x:v>Alto para RFCs, postmortems e validação técnica.</x:v>
      </x:c>
      <x:c r="L5" s="162" t="str">
        <x:v>Extração de RFCs, diagramas-base, animação de pacotes e glossário.</x:v>
      </x:c>
      <x:c r="M5" s="162" t="str">
        <x:v>Segurança operacional, mudanças de arquitetura e independência editorial.</x:v>
      </x:c>
      <x:c r="N5" s="162" t="str">
        <x:v>Revisores técnicos e links para RFCs/postmortems.</x:v>
      </x:c>
      <x:c r="O5" s="162" t="str">
        <x:v>Distinguir arquitetura conceitual de implementação de vendor.</x:v>
      </x:c>
      <x:c r="P5" s="162" t="str">
        <x:v>Detalhes que facilitam abuso e desatualização rápida.</x:v>
      </x:c>
    </x:row>
    <x:row r="6">
      <x:c r="A6" s="162" t="n">
        <x:v>5</x:v>
      </x:c>
      <x:c r="B6" s="162" t="str">
        <x:v>Materials science in everyday life</x:v>
      </x:c>
      <x:c r="C6" s="164" t="n">
        <x:v>9.11</x:v>
      </x:c>
      <x:c r="D6" s="162" t="str">
        <x:v>Objetos familiares reduzem a barreira de entrada e microanimações geram forte retenção.</x:v>
      </x:c>
      <x:c r="E6" s="162" t="str">
        <x:v>Falha se usar propriedades milagrosas, DIY perigoso ou linguagem excessivamente acadêmica.</x:v>
      </x:c>
      <x:c r="F6" s="162" t="str">
        <x:v>The hidden material decisions inside ordinary things.</x:v>
      </x:c>
      <x:c r="G6" s="162" t="str">
        <x:v>Every object has a material story; we reveal why it works, fails and costs what it does.</x:v>
      </x:c>
      <x:c r="H6" s="162" t="str">
        <x:v>Estrutura fixa micro→processo→propriedade→falha→trade-off com exemplos distintos.</x:v>
      </x:c>
      <x:c r="I6" s="162" t="str">
        <x:v>Top 10 materiais, hacks de química e alegações de produto sem ensaio.</x:v>
      </x:c>
      <x:c r="J6" s="162" t="str">
        <x:v>Modelos moleculares e cortes específicos de cada objeto, com demonstração causal.</x:v>
      </x:c>
      <x:c r="K6" s="162" t="str">
        <x:v>Médio–alto: livros técnicos, papers e notas de fabricantes.</x:v>
      </x:c>
      <x:c r="L6" s="162" t="str">
        <x:v>Modelos gráficos, storyboard, animação de estrutura e montagem de diagramas.</x:v>
      </x:c>
      <x:c r="M6" s="162" t="str">
        <x:v>Propriedades, escalas, riscos de segurança e extrapolações.</x:v>
      </x:c>
      <x:c r="N6" s="162" t="str">
        <x:v>Fontes técnicas e revisão por engenheiro/materials scientist quando necessário.</x:v>
      </x:c>
      <x:c r="O6" s="162" t="str">
        <x:v>Mostrar limites e condições em que a propriedade vale.</x:v>
      </x:c>
      <x:c r="P6" s="162" t="str">
        <x:v>Safety, claims exagerados e publicidade disfarçada.</x:v>
      </x:c>
    </x:row>
    <x:row r="7">
      <x:c r="A7" s="162" t="n">
        <x:v>6</x:v>
      </x:c>
      <x:c r="B7" s="162" t="str">
        <x:v>History through systems and logistics</x:v>
      </x:c>
      <x:c r="C7" s="164" t="n">
        <x:v>9.087500000000002</x:v>
      </x:c>
      <x:c r="D7" s="162" t="str">
        <x:v>Une demanda histórica evergreen com um ângulo menos saturado e altamente visual.</x:v>
      </x:c>
      <x:c r="E7" s="162" t="str">
        <x:v>Falha com anacronismos, eurocentrismo ou imagens de IA apresentadas como evidência.</x:v>
      </x:c>
      <x:c r="F7" s="162" t="str">
        <x:v>History told through the systems that made civilizations possible.</x:v>
      </x:c>
      <x:c r="G7" s="162" t="str">
        <x:v>Food, roads, energy and institutions explain what kings alone cannot.</x:v>
      </x:c>
      <x:c r="H7" s="162" t="str">
        <x:v>Sistemas são protagonistas; biografias entram apenas como decisões dentro de restrições.</x:v>
      </x:c>
      <x:c r="I7" s="162" t="str">
        <x:v>Lendas tratadas como fatos, “mysteries” pseudocientíficos e reconstituições não rotuladas.</x:v>
      </x:c>
      <x:c r="J7" s="162" t="str">
        <x:v>Cada episódio reconstrói um sistema específico a partir de fontes e mapas próprios.</x:v>
      </x:c>
      <x:c r="K7" s="162" t="str">
        <x:v>Muito alto: historiografia, fontes primárias e contexto cultural.</x:v>
      </x:c>
      <x:c r="L7" s="162" t="str">
        <x:v>Bibliografia inicial, cronologia, mapas-base e animação de fluxos.</x:v>
      </x:c>
      <x:c r="M7" s="162" t="str">
        <x:v>Datas, traduções, debates acadêmicos e disclosure de cenas sintéticas realistas.</x:v>
      </x:c>
      <x:c r="N7" s="162" t="str">
        <x:v>Bibliografia comentada e consultoria pontual de historiadores.</x:v>
      </x:c>
      <x:c r="O7" s="162" t="str">
        <x:v>Rotular consensus, debate e hipótese na própria narrativa.</x:v>
      </x:c>
      <x:c r="P7" s="162" t="str">
        <x:v>Anacronismo, apropriação cultural e reconstruções enganosas.</x:v>
      </x:c>
    </x:row>
    <x:row r="8">
      <x:c r="A8" s="162" t="n">
        <x:v>7</x:v>
      </x:c>
      <x:c r="B8" s="162" t="str">
        <x:v>Invisible infrastructure systems</x:v>
      </x:c>
      <x:c r="C8" s="164" t="n">
        <x:v>9.076666666666668</x:v>
      </x:c>
      <x:c r="D8" s="162" t="str">
        <x:v>É evergreen, visual, global e pode sustentar centenas de episódios sem depender de celebridades.</x:v>
      </x:c>
      <x:c r="E8" s="162" t="str">
        <x:v>Falha se cobrir sistemas amplos demais ou simplificar regulações locais.</x:v>
      </x:c>
      <x:c r="F8" s="162" t="str">
        <x:v>The hidden systems civilization depends on.</x:v>
      </x:c>
      <x:c r="G8" s="162" t="str">
        <x:v>We make the invisible networks beneath daily life visible and understandable.</x:v>
      </x:c>
      <x:c r="H8" s="162" t="str">
        <x:v>Todo episódio tem inputs, flow, control, bottleneck, failure mode e trade-off.</x:v>
      </x:c>
      <x:c r="I8" s="162" t="str">
        <x:v>Montagens de obras, “biggest ever” e explicações sem fontes técnicas.</x:v>
      </x:c>
      <x:c r="J8" s="162" t="str">
        <x:v>Biblioteca modular de motion, mas diagrama causal, mapa e tese inéditos por vídeo.</x:v>
      </x:c>
      <x:c r="K8" s="162" t="str">
        <x:v>Médio–alto: órgãos públicos, padrões e papers de engenharia.</x:v>
      </x:c>
      <x:c r="L8" s="162" t="str">
        <x:v>Pesquisa preliminar, decomposição do sistema, mapas-base e animações modulares.</x:v>
      </x:c>
      <x:c r="M8" s="162" t="str">
        <x:v>Precisão técnica, jurisdição, unidades, segurança e direitos de establishing shots.</x:v>
      </x:c>
      <x:c r="N8" s="162" t="str">
        <x:v>Metodologia visível e source cards na descrição.</x:v>
      </x:c>
      <x:c r="O8" s="162" t="str">
        <x:v>Separar regra geral de exemplo local e publicar errata.</x:v>
      </x:c>
      <x:c r="P8" s="162" t="str">
        <x:v>Simplificação técnica e uso incidental de footage protegido.</x:v>
      </x:c>
    </x:row>
    <x:row r="9">
      <x:c r="A9" s="162" t="n">
        <x:v>8</x:v>
      </x:c>
      <x:c r="B9" s="162" t="str">
        <x:v>Economics of everyday industries</x:v>
      </x:c>
      <x:c r="C9" s="164" t="n">
        <x:v>9.076666666666668</x:v>
      </x:c>
      <x:c r="D9" s="162" t="str">
        <x:v>Assuntos comuns geram curiosidade ampla, enquanto a lente econômica atrai uma audiência comercialmente relevante e permite séries quase infinitas.</x:v>
      </x:c>
      <x:c r="E9" s="162" t="str">
        <x:v>Falha se números privados forem tratados como fatos ou se o episódio for apenas uma lista de curiosidades setoriais.</x:v>
      </x:c>
      <x:c r="F9" s="162" t="str">
        <x:v>The hidden economics of ordinary businesses.</x:v>
      </x:c>
      <x:c r="G9" s="162" t="str">
        <x:v>Every episode explains why an overlooked industry works the way it does.</x:v>
      </x:c>
      <x:c r="H9" s="162" t="str">
        <x:v>Cadeia de valor, margem, restrição operacional, consolidação e comportamento do cliente em um modelo visual próprio.</x:v>
      </x:c>
      <x:c r="I9" s="162" t="str">
        <x:v>Listas de negócios lucrativos, conselhos de investimento e estimativas sem metodologia.</x:v>
      </x:c>
      <x:c r="J9" s="162" t="str">
        <x:v>Escolher indústrias com estruturas econômicas diferentes e construir o diagrama a partir das fontes de cada setor.</x:v>
      </x:c>
      <x:c r="K9" s="162" t="str">
        <x:v>Médio–alto: associações setoriais, filings, preços públicos e triangulação de empresas privadas.</x:v>
      </x:c>
      <x:c r="L9" s="162" t="str">
        <x:v>Descoberta de fontes, extração de players/preços, mapa inicial do setor e rough cut.</x:v>
      </x:c>
      <x:c r="M9" s="162" t="str">
        <x:v>Unidades, intervalos estimados, comparabilidade geográfica, claims de margem e linguagem financeira.</x:v>
      </x:c>
      <x:c r="N9" s="162" t="str">
        <x:v>Modelos simples publicados com premissas visíveis e fontes por variável.</x:v>
      </x:c>
      <x:c r="O9" s="162" t="str">
        <x:v>Rotular claramente números observados, estimados e não verificados.</x:v>
      </x:c>
      <x:c r="P9" s="162" t="str">
        <x:v>Estimativas de empresas privadas, claims financeiros e uso excessivo de imagens de marca.</x:v>
      </x:c>
    </x:row>
    <x:row r="10">
      <x:c r="A10" s="162" t="n">
        <x:v>9</x:v>
      </x:c>
      <x:c r="B10" s="162" t="str">
        <x:v>Scientific mysteries solved with evidence</x:v>
      </x:c>
      <x:c r="C10" s="164" t="n">
        <x:v>9.045</x:v>
      </x:c>
      <x:c r="D10" s="162" t="str">
        <x:v>Mistério fornece retenção; resolução baseada em método preserva segurança e valor educacional.</x:v>
      </x:c>
      <x:c r="E10" s="162" t="str">
        <x:v>Falha se esconder que o mistério já foi resolvido ou exagerar a incerteza.</x:v>
      </x:c>
      <x:c r="F10" s="162" t="str">
        <x:v>Mysteries where the evidence is the main character.</x:v>
      </x:c>
      <x:c r="G10" s="162" t="str">
        <x:v>We test every hypothesis and show the clue that changes the case.</x:v>
      </x:c>
      <x:c r="H10" s="162" t="str">
        <x:v>Evidence ladder visual: observation, hypotheses, test, decisive clue, remaining uncertainty.</x:v>
      </x:c>
      <x:c r="I10" s="162" t="str">
        <x:v>Paranormal tratado como plausível, thumbnails enganosas e casos criminais ativos.</x:v>
      </x:c>
      <x:c r="J10" s="162" t="str">
        <x:v>Hipóteses e experimento visual específicos; ritmo e estrutura variam conforme o caso.</x:v>
      </x:c>
      <x:c r="K10" s="162" t="str">
        <x:v>Alto: localizar fonte primária e reconstruir cronologia do conhecimento.</x:v>
      </x:c>
      <x:c r="L10" s="162" t="str">
        <x:v>Busca bibliográfica, cronologia, visualização de hipóteses e edição base.</x:v>
      </x:c>
      <x:c r="M10" s="162" t="str">
        <x:v>Fonte original, data, causalidade e honestidade do título.</x:v>
      </x:c>
      <x:c r="N10" s="162" t="str">
        <x:v>Mostrar documentos e método, não apenas conclusão.</x:v>
      </x:c>
      <x:c r="O10" s="162" t="str">
        <x:v>Revelar incerteza residual e por que alternativas perderam força.</x:v>
      </x:c>
      <x:c r="P10" s="162" t="str">
        <x:v>Sensacionalismo e confusão entre hipótese histórica e consenso atual.</x:v>
      </x:c>
    </x:row>
    <x:row r="11">
      <x:c r="A11" s="165" t="n">
        <x:v>10</x:v>
      </x:c>
      <x:c r="B11" s="165" t="str">
        <x:v>Supply chains and industrial logistics</x:v>
      </x:c>
      <x:c r="C11" s="167" t="n">
        <x:v>9.0425</x:v>
      </x:c>
      <x:c r="D11" s="165" t="str">
        <x:v>Possui escala global, objetos cotidianos como ganchos e enorme potencial de mapas, fluxos e séries.</x:v>
      </x:c>
      <x:c r="E11" s="165" t="str">
        <x:v>Falha com mapas genéricos, dados comerciais vencidos ou episódios sem personagem/objeto central.</x:v>
      </x:c>
      <x:c r="F11" s="165" t="str">
        <x:v>Follow one product through the hidden network that makes it possible.</x:v>
      </x:c>
      <x:c r="G11" s="165" t="str">
        <x:v>You will never look at an ordinary product the same way again.</x:v>
      </x:c>
      <x:c r="H11" s="165" t="str">
        <x:v>Narrativa da jornada + gargalos + incentivos + fragilidade, sempre com um fluxo visual original.</x:v>
      </x:c>
      <x:c r="I11" s="165" t="str">
        <x:v>Compilações de navios, notícias de congestionamento e rankings sem tese.</x:v>
      </x:c>
      <x:c r="J11" s="165" t="str">
        <x:v>Cada vídeo escolhe um produto, rota, restrição e falha potencial diferentes; mapas são desenhados do zero.</x:v>
      </x:c>
      <x:c r="K11" s="165" t="str">
        <x:v>Médio–alto: dados aduaneiros, portos, empresas e contexto geopolítico.</x:v>
      </x:c>
      <x:c r="L11" s="165" t="str">
        <x:v>Extração de dados, criação de mapas-base, storyboard de rede e animações repetíveis.</x:v>
      </x:c>
      <x:c r="M11" s="165" t="str">
        <x:v>Atualidade dos dados, sanções, rotas, unidades e licenças de imagens.</x:v>
      </x:c>
      <x:c r="N11" s="165" t="str">
        <x:v>Manter um ledger de dados com data de acesso e fontes primárias.</x:v>
      </x:c>
      <x:c r="O11" s="165" t="str">
        <x:v>Mostrar onde há estimativa, intervalo e simplificação do fluxo real.</x:v>
      </x:c>
      <x:c r="P11" s="165" t="str">
        <x:v>Dados desatualizados, temas de sanções e excesso de dependência de stock footage.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4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>
      <x:c r="A1" s="16" t="str">
        <x:v>Format</x:v>
      </x:c>
      <x:c r="B1" s="16" t="str">
        <x:v>Unit</x:v>
      </x:c>
      <x:c r="C1" s="16" t="str">
        <x:v>Narrative structure</x:v>
      </x:c>
      <x:c r="D1" s="16" t="str">
        <x:v>Duration</x:v>
      </x:c>
      <x:c r="E1" s="16" t="str">
        <x:v>Best niches</x:v>
      </x:c>
      <x:c r="F1" s="16" t="str">
        <x:v>Visual kit</x:v>
      </x:c>
      <x:c r="G1" s="16" t="str">
        <x:v>Guardrail</x:v>
      </x:c>
    </x:row>
    <x:row r="2">
      <x:c r="A2" s="168" t="str">
        <x:v>Systems documentary</x:v>
      </x:c>
      <x:c r="B2" s="168" t="str">
        <x:v>One hidden system</x:v>
      </x:c>
      <x:c r="C2" s="168" t="str">
        <x:v>Question → map → flow → bottleneck → failure mode → trade-off</x:v>
      </x:c>
      <x:c r="D2" s="168" t="str">
        <x:v>14–24 min</x:v>
      </x:c>
      <x:c r="E2" s="168" t="str">
        <x:v>Infrastructure, cloud, logistics</x:v>
      </x:c>
      <x:c r="F2" s="168" t="str">
        <x:v>Motion diagrams + maps</x:v>
      </x:c>
      <x:c r="G2" s="168" t="str">
        <x:v>Avoid generic stock montage</x:v>
      </x:c>
    </x:row>
    <x:row r="3">
      <x:c r="A3" s="169" t="str">
        <x:v>Forensic failure analysis</x:v>
      </x:c>
      <x:c r="B3" s="169" t="str">
        <x:v>One documented failure</x:v>
      </x:c>
      <x:c r="C3" s="169" t="str">
        <x:v>Outcome → timeline → fault tree → contributing factors → lessons</x:v>
      </x:c>
      <x:c r="D3" s="169" t="str">
        <x:v>16–28 min</x:v>
      </x:c>
      <x:c r="E3" s="169" t="str">
        <x:v>Engineering, cyber, aviation</x:v>
      </x:c>
      <x:c r="F3" s="169" t="str">
        <x:v>Timeline + fault tree</x:v>
      </x:c>
      <x:c r="G3" s="169" t="str">
        <x:v>Use official reports; sensitive-event check</x:v>
      </x:c>
    </x:row>
    <x:row r="4">
      <x:c r="A4" s="169" t="str">
        <x:v>Reverse-engineered business model</x:v>
      </x:c>
      <x:c r="B4" s="169" t="str">
        <x:v>One company or category</x:v>
      </x:c>
      <x:c r="C4" s="169" t="str">
        <x:v>Customer → value chain → economics → moat → vulnerability</x:v>
      </x:c>
      <x:c r="D4" s="169" t="str">
        <x:v>16–30 min</x:v>
      </x:c>
      <x:c r="E4" s="169" t="str">
        <x:v>Business, media, luxury</x:v>
      </x:c>
      <x:c r="F4" s="169" t="str">
        <x:v>Value-chain diagrams</x:v>
      </x:c>
      <x:c r="G4" s="169" t="str">
        <x:v>No stock advice or unverified unit economics</x:v>
      </x:c>
    </x:row>
    <x:row r="5">
      <x:c r="A5" s="169" t="str">
        <x:v>Journey of an object</x:v>
      </x:c>
      <x:c r="B5" s="169" t="str">
        <x:v>One product/commodity</x:v>
      </x:c>
      <x:c r="C5" s="169" t="str">
        <x:v>Origin → transformations → transport → retail → hidden dependency</x:v>
      </x:c>
      <x:c r="D5" s="169" t="str">
        <x:v>14–24 min</x:v>
      </x:c>
      <x:c r="E5" s="169" t="str">
        <x:v>Supply chain, food, materials</x:v>
      </x:c>
      <x:c r="F5" s="169" t="str">
        <x:v>Animated route + cutaways</x:v>
      </x:c>
      <x:c r="G5" s="169" t="str">
        <x:v>Date route/data and license footage</x:v>
      </x:c>
    </x:row>
    <x:row r="6">
      <x:c r="A6" s="169" t="str">
        <x:v>How it works</x:v>
      </x:c>
      <x:c r="B6" s="169" t="str">
        <x:v>One mechanism</x:v>
      </x:c>
      <x:c r="C6" s="169" t="str">
        <x:v>Visible effect → hidden components → control loop → edge cases</x:v>
      </x:c>
      <x:c r="D6" s="169" t="str">
        <x:v>10–20 min</x:v>
      </x:c>
      <x:c r="E6" s="169" t="str">
        <x:v>Engineering, internet, transport</x:v>
      </x:c>
      <x:c r="F6" s="169" t="str">
        <x:v>Exploded view + causal animation</x:v>
      </x:c>
      <x:c r="G6" s="169" t="str">
        <x:v>Do not become a narrated glossary</x:v>
      </x:c>
    </x:row>
    <x:row r="7">
      <x:c r="A7" s="169" t="str">
        <x:v>Project anatomy</x:v>
      </x:c>
      <x:c r="B7" s="169" t="str">
        <x:v>One megaproject</x:v>
      </x:c>
      <x:c r="C7" s="169" t="str">
        <x:v>Need → design → construction → financing → risks → status</x:v>
      </x:c>
      <x:c r="D7" s="169" t="str">
        <x:v>14–26 min</x:v>
      </x:c>
      <x:c r="E7" s="169" t="str">
        <x:v>Megaprojects, cities, energy</x:v>
      </x:c>
      <x:c r="F7" s="169" t="str">
        <x:v>Section cuts + timeline</x:v>
      </x:c>
      <x:c r="G7" s="169" t="str">
        <x:v>Separate plan from delivered reality</x:v>
      </x:c>
    </x:row>
    <x:row r="8">
      <x:c r="A8" s="169" t="str">
        <x:v>Decision timeline</x:v>
      </x:c>
      <x:c r="B8" s="169" t="str">
        <x:v>Rise/pivot/decline</x:v>
      </x:c>
      <x:c r="C8" s="169" t="str">
        <x:v>Context → options → decision → feedback → next constraint</x:v>
      </x:c>
      <x:c r="D8" s="169" t="str">
        <x:v>18–30 min</x:v>
      </x:c>
      <x:c r="E8" s="169" t="str">
        <x:v>Companies, biographies, tech history</x:v>
      </x:c>
      <x:c r="F8" s="169" t="str">
        <x:v>Branching timeline</x:v>
      </x:c>
      <x:c r="G8" s="169" t="str">
        <x:v>Avoid mind-reading executives</x:v>
      </x:c>
    </x:row>
    <x:row r="9">
      <x:c r="A9" s="169" t="str">
        <x:v>Evidence ladder mystery</x:v>
      </x:c>
      <x:c r="B9" s="169" t="str">
        <x:v>One unresolved/resolved question</x:v>
      </x:c>
      <x:c r="C9" s="169" t="str">
        <x:v>Observation → hypotheses → tests → decisive clue → uncertainty</x:v>
      </x:c>
      <x:c r="D9" s="169" t="str">
        <x:v>14–24 min</x:v>
      </x:c>
      <x:c r="E9" s="169" t="str">
        <x:v>Science, archaeology</x:v>
      </x:c>
      <x:c r="F9" s="169" t="str">
        <x:v>Hypothesis board</x:v>
      </x:c>
      <x:c r="G9" s="169" t="str">
        <x:v>Never manufacture ambiguity</x:v>
      </x:c>
    </x:row>
    <x:row r="10">
      <x:c r="A10" s="169" t="str">
        <x:v>Map narrative</x:v>
      </x:c>
      <x:c r="B10" s="169" t="str">
        <x:v>One spatial constraint</x:v>
      </x:c>
      <x:c r="C10" s="169" t="str">
        <x:v>Where → why there → flows → chokepoints → alternatives</x:v>
      </x:c>
      <x:c r="D10" s="169" t="str">
        <x:v>14–24 min</x:v>
      </x:c>
      <x:c r="E10" s="169" t="str">
        <x:v>Trade, cities, geology</x:v>
      </x:c>
      <x:c r="F10" s="169" t="str">
        <x:v>Original maps</x:v>
      </x:c>
      <x:c r="G10" s="169" t="str">
        <x:v>Check borders, labels and dates</x:v>
      </x:c>
    </x:row>
    <x:row r="11">
      <x:c r="A11" s="169" t="str">
        <x:v>Historical system reconstruction</x:v>
      </x:c>
      <x:c r="B11" s="169" t="str">
        <x:v>One past system</x:v>
      </x:c>
      <x:c r="C11" s="169" t="str">
        <x:v>Sources → reconstruction → operating logic → stress → legacy</x:v>
      </x:c>
      <x:c r="D11" s="169" t="str">
        <x:v>18–30 min</x:v>
      </x:c>
      <x:c r="E11" s="169" t="str">
        <x:v>History</x:v>
      </x:c>
      <x:c r="F11" s="169" t="str">
        <x:v>Period maps + stylized reconstruction</x:v>
      </x:c>
      <x:c r="G11" s="169" t="str">
        <x:v>Label AI reconstruction; distinguish evidence</x:v>
      </x:c>
    </x:row>
    <x:row r="12">
      <x:c r="A12" s="169" t="str">
        <x:v>Technology stack</x:v>
      </x:c>
      <x:c r="B12" s="169" t="str">
        <x:v>One stack/bottleneck</x:v>
      </x:c>
      <x:c r="C12" s="169" t="str">
        <x:v>Layer 1→N → interfaces → bottleneck → economics</x:v>
      </x:c>
      <x:c r="D12" s="169" t="str">
        <x:v>14–24 min</x:v>
      </x:c>
      <x:c r="E12" s="169" t="str">
        <x:v>AI, semiconductors, cloud</x:v>
      </x:c>
      <x:c r="F12" s="169" t="str">
        <x:v>Layered diagrams</x:v>
      </x:c>
      <x:c r="G12" s="169" t="str">
        <x:v>Verify versions/specs</x:v>
      </x:c>
    </x:row>
    <x:row r="13">
      <x:c r="A13" s="169" t="str">
        <x:v>Incident postmortem</x:v>
      </x:c>
      <x:c r="B13" s="169" t="str">
        <x:v>One outage/breach</x:v>
      </x:c>
      <x:c r="C13" s="169" t="str">
        <x:v>Normal state → trigger → propagation → response → prevention</x:v>
      </x:c>
      <x:c r="D13" s="169" t="str">
        <x:v>14–26 min</x:v>
      </x:c>
      <x:c r="E13" s="169" t="str">
        <x:v>Cloud, cyber, infrastructure</x:v>
      </x:c>
      <x:c r="F13" s="169" t="str">
        <x:v>Dependency graph</x:v>
      </x:c>
      <x:c r="G13" s="169" t="str">
        <x:v>Withhold exploit-enabling detail</x:v>
      </x:c>
    </x:row>
    <x:row r="14">
      <x:c r="A14" s="169" t="str">
        <x:v>Comparative design</x:v>
      </x:c>
      <x:c r="B14" s="169" t="str">
        <x:v>Two or three approaches</x:v>
      </x:c>
      <x:c r="C14" s="169" t="str">
        <x:v>Same problem → designs → metrics → contexts → decision rule</x:v>
      </x:c>
      <x:c r="D14" s="169" t="str">
        <x:v>12–22 min</x:v>
      </x:c>
      <x:c r="E14" s="169" t="str">
        <x:v>Mobility, energy, architecture</x:v>
      </x:c>
      <x:c r="F14" s="169" t="str">
        <x:v>Side-by-side diagrams</x:v>
      </x:c>
      <x:c r="G14" s="169" t="str">
        <x:v>Normalize metrics; no universal winner</x:v>
      </x:c>
    </x:row>
    <x:row r="15">
      <x:c r="A15" s="169" t="str">
        <x:v>Industry economics</x:v>
      </x:c>
      <x:c r="B15" s="169" t="str">
        <x:v>One overlooked industry</x:v>
      </x:c>
      <x:c r="C15" s="169" t="str">
        <x:v>Demand → suppliers → margins → consolidation → disruption</x:v>
      </x:c>
      <x:c r="D15" s="169" t="str">
        <x:v>14–24 min</x:v>
      </x:c>
      <x:c r="E15" s="169" t="str">
        <x:v>Everyday economics</x:v>
      </x:c>
      <x:c r="F15" s="169" t="str">
        <x:v>Industry map</x:v>
      </x:c>
      <x:c r="G15" s="169" t="str">
        <x:v>Private-company numbers are estimates</x:v>
      </x:c>
    </x:row>
    <x:row r="16">
      <x:c r="A16" s="169" t="str">
        <x:v>Question with a complex answer</x:v>
      </x:c>
      <x:c r="B16" s="169" t="str">
        <x:v>One deceptively simple question</x:v>
      </x:c>
      <x:c r="C16" s="169" t="str">
        <x:v>Intuition → contradiction → mechanism → answer → implications</x:v>
      </x:c>
      <x:c r="D16" s="169" t="str">
        <x:v>10–18 min</x:v>
      </x:c>
      <x:c r="E16" s="169" t="str">
        <x:v>Science, standards, psychology</x:v>
      </x:c>
      <x:c r="F16" s="169" t="str">
        <x:v>Conceptual animation</x:v>
      </x:c>
      <x:c r="G16" s="169" t="str">
        <x:v>Title must match actual answer</x:v>
      </x:c>
    </x:row>
    <x:row r="17">
      <x:c r="A17" s="169" t="str">
        <x:v>Before/after transformation</x:v>
      </x:c>
      <x:c r="B17" s="169" t="str">
        <x:v>One system changed over time</x:v>
      </x:c>
      <x:c r="C17" s="169" t="str">
        <x:v>Old equilibrium → pressure → transition → new equilibrium → side effects</x:v>
      </x:c>
      <x:c r="D17" s="169" t="str">
        <x:v>14–24 min</x:v>
      </x:c>
      <x:c r="E17" s="169" t="str">
        <x:v>Technology, work, cities</x:v>
      </x:c>
      <x:c r="F17" s="169" t="str">
        <x:v>Morphing diagrams</x:v>
      </x:c>
      <x:c r="G17" s="169" t="str">
        <x:v>Avoid false monocausal stories</x:v>
      </x:c>
    </x:row>
    <x:row r="18">
      <x:c r="A18" s="169" t="str">
        <x:v>Constraint-led biography</x:v>
      </x:c>
      <x:c r="B18" s="169" t="str">
        <x:v>One person/team</x:v>
      </x:c>
      <x:c r="C18" s="169" t="str">
        <x:v>Problem → constraints → collaborators → decisions → system impact</x:v>
      </x:c>
      <x:c r="D18" s="169" t="str">
        <x:v>16–28 min</x:v>
      </x:c>
      <x:c r="E18" s="169" t="str">
        <x:v>Inventors, industrialists</x:v>
      </x:c>
      <x:c r="F18" s="169" t="str">
        <x:v>Context timeline</x:v>
      </x:c>
      <x:c r="G18" s="169" t="str">
        <x:v>Avoid lone-genius myths</x:v>
      </x:c>
    </x:row>
    <x:row r="19">
      <x:c r="A19" s="169" t="str">
        <x:v>Scenario analysis</x:v>
      </x:c>
      <x:c r="B19" s="169" t="str">
        <x:v>One explicit hypothetical</x:v>
      </x:c>
      <x:c r="C19" s="169" t="str">
        <x:v>Assumptions → model → branches → outcomes → sensitivity</x:v>
      </x:c>
      <x:c r="D19" s="169" t="str">
        <x:v>14–24 min</x:v>
      </x:c>
      <x:c r="E19" s="169" t="str">
        <x:v>Energy, space, climate</x:v>
      </x:c>
      <x:c r="F19" s="169" t="str">
        <x:v>Scenario tree</x:v>
      </x:c>
      <x:c r="G19" s="169" t="str">
        <x:v>Label hypothetical and show assumptions</x:v>
      </x:c>
    </x:row>
    <x:row r="20">
      <x:c r="A20" s="169" t="str">
        <x:v>Standard origin story</x:v>
      </x:c>
      <x:c r="B20" s="169" t="str">
        <x:v>One code/protocol</x:v>
      </x:c>
      <x:c r="C20" s="169" t="str">
        <x:v>Chaos → failure/coordination need → standard → adoption → unintended effect</x:v>
      </x:c>
      <x:c r="D20" s="169" t="str">
        <x:v>12–22 min</x:v>
      </x:c>
      <x:c r="E20" s="169" t="str">
        <x:v>Standards, internet, safety</x:v>
      </x:c>
      <x:c r="F20" s="169" t="str">
        <x:v>Then/now system diagram</x:v>
      </x:c>
      <x:c r="G20" s="169" t="str">
        <x:v>Jurisdiction and version checks</x:v>
      </x:c>
    </x:row>
    <x:row r="21">
      <x:c r="A21" s="170" t="str">
        <x:v>Product autopsy</x:v>
      </x:c>
      <x:c r="B21" s="170" t="str">
        <x:v>One failed product</x:v>
      </x:c>
      <x:c r="C21" s="170" t="str">
        <x:v>Job-to-be-done → design → ecosystem → launch → feedback → failure</x:v>
      </x:c>
      <x:c r="D21" s="170" t="str">
        <x:v>14–24 min</x:v>
      </x:c>
      <x:c r="E21" s="170" t="str">
        <x:v>Tech history, media</x:v>
      </x:c>
      <x:c r="F21" s="170" t="str">
        <x:v>Product-system map</x:v>
      </x:c>
      <x:c r="G21" s="170" t="str">
        <x:v>Avoid hindsight bias and copyrighted ad reels</x:v>
      </x:c>
    </x:row>
  </x:sheetData>
  <x:pageMargins left="0.7" right="0.7" top="0.75" bottom="0.75" header="0.3" footer="0.3"/>
  <x:tableParts count="1">
    <x:tablePart xmlns:r="http://schemas.openxmlformats.org/officeDocument/2006/relationships" r:id="R2edc83efe59348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</x:cols>
  <x:sheetData>
    <x:row r="1" ht="34" customHeight="1">
      <x:c r="A1" s="14" t="str">
        <x:v>Scoring model — editable assumptions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6" t="str">
        <x:v>Weighted criterion</x:v>
      </x:c>
      <x:c r="B3" s="16" t="str">
        <x:v>Weight</x:v>
      </x:c>
      <x:c r="C3" s="16" t="str">
        <x:v>Input / formula</x:v>
      </x:c>
      <x:c r="D3" s="16" t="str">
        <x:v>Definition</x:v>
      </x:c>
    </x:row>
    <x:row r="4">
      <x:c r="A4" s="15" t="str">
        <x:v>Segurança de monetização</x:v>
      </x:c>
      <x:c r="B4" s="17" t="n">
        <x:v>0.15</x:v>
      </x:c>
      <x:c r="C4" s="15" t="str">
        <x:v>safety</x:v>
      </x:c>
      <x:c r="D4" s="15" t="str">
        <x:v>Monetization Safety</x:v>
      </x:c>
    </x:row>
    <x:row r="5">
      <x:c r="A5" s="15" t="str">
        <x:v>Originalidade e diferenciação</x:v>
      </x:c>
      <x:c r="B5" s="17" t="n">
        <x:v>0.15</x:v>
      </x:c>
      <x:c r="C5" s="15" t="str">
        <x:v>differentiation</x:v>
      </x:c>
      <x:c r="D5" s="15" t="str">
        <x:v>Differentiation</x:v>
      </x:c>
    </x:row>
    <x:row r="6">
      <x:c r="A6" s="15" t="str">
        <x:v>Potencial para vídeos longos</x:v>
      </x:c>
      <x:c r="B6" s="17" t="n">
        <x:v>0.12</x:v>
      </x:c>
      <x:c r="C6" s="15" t="str">
        <x:v>long</x:v>
      </x:c>
      <x:c r="D6" s="15" t="str">
        <x:v>Long-form potential</x:v>
      </x:c>
    </x:row>
    <x:row r="7">
      <x:c r="A7" s="15" t="str">
        <x:v>Retenção</x:v>
      </x:c>
      <x:c r="B7" s="17" t="n">
        <x:v>0.1</x:v>
      </x:c>
      <x:c r="C7" s="15" t="str">
        <x:v>retention</x:v>
      </x:c>
      <x:c r="D7" s="15" t="str">
        <x:v>Retention potential</x:v>
      </x:c>
    </x:row>
    <x:row r="8">
      <x:c r="A8" s="15" t="str">
        <x:v>Demanda</x:v>
      </x:c>
      <x:c r="B8" s="17" t="n">
        <x:v>0.1</x:v>
      </x:c>
      <x:c r="C8" s="15" t="str">
        <x:v>demand</x:v>
      </x:c>
      <x:c r="D8" s="15" t="str">
        <x:v>Demand</x:v>
      </x:c>
    </x:row>
    <x:row r="9">
      <x:c r="A9" s="15" t="str">
        <x:v>Escalabilidade operacional</x:v>
      </x:c>
      <x:c r="B9" s="17" t="n">
        <x:v>0.1</x:v>
      </x:c>
      <x:c r="C9" s="15" t="str">
        <x:v>ops</x:v>
      </x:c>
      <x:c r="D9" s="15" t="str">
        <x:v>AVERAGE(visual ease, automation, 100-video capacity, maintain quality)</x:v>
      </x:c>
    </x:row>
    <x:row r="10">
      <x:c r="A10" s="15" t="str">
        <x:v>Compatibilidade com automação</x:v>
      </x:c>
      <x:c r="B10" s="17" t="n">
        <x:v>0.08</x:v>
      </x:c>
      <x:c r="C10" s="15" t="str">
        <x:v>autoCompat</x:v>
      </x:c>
      <x:c r="D10" s="15" t="str">
        <x:v>AVERAGE(motion design, generative video, automation)</x:v>
      </x:c>
    </x:row>
    <x:row r="11">
      <x:c r="A11" s="15" t="str">
        <x:v>Potencial comercial</x:v>
      </x:c>
      <x:c r="B11" s="17" t="n">
        <x:v>0.08</x:v>
      </x:c>
      <x:c r="C11" s="15" t="str">
        <x:v>commercialComposite</x:v>
      </x:c>
      <x:c r="D11" s="15" t="str">
        <x:v>AVERAGE(sponsorship, affiliate, commercial audience value)</x:v>
      </x:c>
    </x:row>
    <x:row r="12">
      <x:c r="A12" s="15" t="str">
        <x:v>Baixo risco de direitos autorais</x:v>
      </x:c>
      <x:c r="B12" s="17" t="n">
        <x:v>0.07</x:v>
      </x:c>
      <x:c r="C12" s="15" t="str">
        <x:v>lowCopyright</x:v>
      </x:c>
      <x:c r="D12" s="15" t="str">
        <x:v>Low copyright risk</x:v>
      </x:c>
    </x:row>
    <x:row r="13">
      <x:c r="A13" s="15" t="str">
        <x:v>Potencial de séries</x:v>
      </x:c>
      <x:c r="B13" s="17" t="n">
        <x:v>0.05</x:v>
      </x:c>
      <x:c r="C13" s="15" t="str">
        <x:v>series</x:v>
      </x:c>
      <x:c r="D13" s="15" t="str">
        <x:v>Series potential</x:v>
      </x:c>
    </x:row>
    <x:row r="14">
      <x:c r="A14" s="15"/>
      <x:c r="B14" s="15"/>
      <x:c r="C14" s="15"/>
      <x:c r="D14" s="15"/>
    </x:row>
    <x:row r="15">
      <x:c r="A15" s="16" t="str">
        <x:v>Scale</x:v>
      </x:c>
      <x:c r="B15" s="16" t="str">
        <x:v>Interpretation</x:v>
      </x:c>
      <x:c r="C15" s="16" t="str">
        <x:v>Evidence status</x:v>
      </x:c>
      <x:c r="D15" s="16" t="str">
        <x:v>Use</x:v>
      </x:c>
    </x:row>
    <x:row r="16">
      <x:c r="A16" s="15" t="str">
        <x:v>0–2</x:v>
      </x:c>
      <x:c r="B16" s="15" t="str">
        <x:v>Structurally weak</x:v>
      </x:c>
      <x:c r="C16" s="15" t="str">
        <x:v>Expert estimate</x:v>
      </x:c>
      <x:c r="D16" s="15" t="str">
        <x:v>Usually reject</x:v>
      </x:c>
    </x:row>
    <x:row r="17">
      <x:c r="A17" s="15" t="str">
        <x:v>3–5</x:v>
      </x:c>
      <x:c r="B17" s="15" t="str">
        <x:v>Material constraints</x:v>
      </x:c>
      <x:c r="C17" s="15" t="str">
        <x:v>Expert estimate</x:v>
      </x:c>
      <x:c r="D17" s="15" t="str">
        <x:v>Only with a strong edge</x:v>
      </x:c>
    </x:row>
    <x:row r="18">
      <x:c r="A18" s="15" t="str">
        <x:v>6–8</x:v>
      </x:c>
      <x:c r="B18" s="15" t="str">
        <x:v>Viable to strong</x:v>
      </x:c>
      <x:c r="C18" s="15" t="str">
        <x:v>Expert estimate</x:v>
      </x:c>
      <x:c r="D18" s="15" t="str">
        <x:v>Pilot candidate</x:v>
      </x:c>
    </x:row>
    <x:row r="19">
      <x:c r="A19" s="15" t="str">
        <x:v>9–10</x:v>
      </x:c>
      <x:c r="B19" s="15" t="str">
        <x:v>Exceptional fit</x:v>
      </x:c>
      <x:c r="C19" s="15" t="str">
        <x:v>Expert estimate</x:v>
      </x:c>
      <x:c r="D19" s="15" t="str">
        <x:v>Priority if portfolio-balanced</x:v>
      </x:c>
    </x:row>
    <x:row r="20">
      <x:c r="A20" s="15"/>
      <x:c r="B20" s="15"/>
      <x:c r="C20" s="15"/>
      <x:c r="D20" s="15"/>
    </x:row>
    <x:row r="21">
      <x:c r="A21" s="16" t="str">
        <x:v>Composite</x:v>
      </x:c>
      <x:c r="B21" s="16" t="str">
        <x:v>Workbook formula</x:v>
      </x:c>
      <x:c r="C21" s="16" t="str">
        <x:v>Why</x:v>
      </x:c>
      <x:c r="D21" s="16" t="str">
        <x:v>Note</x:v>
      </x:c>
    </x:row>
    <x:row r="22">
      <x:c r="A22" s="15" t="str">
        <x:v>Operational scalability</x:v>
      </x:c>
      <x:c r="B22" s="15" t="str">
        <x:v>AVERAGE(visual ease, automation, 100-video capacity, maintain quality)</x:v>
      </x:c>
      <x:c r="C22" s="15" t="str">
        <x:v>Balances speed with sustainable quality</x:v>
      </x:c>
      <x:c r="D22" s="15" t="str">
        <x:v>Not just upload volume</x:v>
      </x:c>
    </x:row>
    <x:row r="23">
      <x:c r="A23" s="15" t="str">
        <x:v>Automation compatibility</x:v>
      </x:c>
      <x:c r="B23" s="15" t="str">
        <x:v>AVERAGE(motion, generative video, automation)</x:v>
      </x:c>
      <x:c r="C23" s="15" t="str">
        <x:v>Measures pipeline fit</x:v>
      </x:c>
      <x:c r="D23" s="15" t="str">
        <x:v>Human review remains required</x:v>
      </x:c>
    </x:row>
    <x:row r="24">
      <x:c r="A24" s="15" t="str">
        <x:v>Commercial potential</x:v>
      </x:c>
      <x:c r="B24" s="15" t="str">
        <x:v>AVERAGE(sponsorship, affiliate, audience commercial value)</x:v>
      </x:c>
      <x:c r="C24" s="15" t="str">
        <x:v>Diversifies beyond AdSense</x:v>
      </x:c>
      <x:c r="D24" s="15" t="str">
        <x:v>Does not predict RPM</x:v>
      </x:c>
    </x:row>
    <x:row r="25">
      <x:c r="A25" s="15" t="str">
        <x:v>Weighted score</x:v>
      </x:c>
      <x:c r="B25" s="15" t="str">
        <x:v>SUMPRODUCT of 10 strategic components and weights</x:v>
      </x:c>
      <x:c r="C25" s="15" t="str">
        <x:v>Ranks portfolio fit</x:v>
      </x:c>
      <x:c r="D25" s="15" t="str">
        <x:v>Strategic estimate, not forecast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7" hidden="0" customWidth="1"/>
    <x:col min="4" max="4" width="52" hidden="0" customWidth="1"/>
    <x:col min="5" max="5" width="70" hidden="0" customWidth="1"/>
  </x:cols>
  <x:sheetData>
    <x:row r="1">
      <x:c r="A1" s="16" t="str">
        <x:v>Source</x:v>
      </x:c>
      <x:c r="B1" s="16" t="str">
        <x:v>Publisher / type</x:v>
      </x:c>
      <x:c r="C1" s="16" t="str">
        <x:v>Date / access</x:v>
      </x:c>
      <x:c r="D1" s="16" t="str">
        <x:v>Use in analysis</x:v>
      </x:c>
      <x:c r="E1" s="16" t="str">
        <x:v>URL</x:v>
      </x:c>
    </x:row>
    <x:row r="2">
      <x:c r="A2" s="159" t="str">
        <x:v>YouTube channel monetization policies</x:v>
      </x:c>
      <x:c r="B2" s="159" t="str">
        <x:v>Official YouTube Help</x:v>
      </x:c>
      <x:c r="C2" s="159" t="str">
        <x:v>2026-08-18</x:v>
      </x:c>
      <x:c r="D2" s="159" t="str">
        <x:v>Original/authentic requirement; inauthentic and reused content</x:v>
      </x:c>
      <x:c r="E2" s="159" t="str">
        <x:v>https://support.google.com/youtube/answer/1311392?hl=en</x:v>
      </x:c>
    </x:row>
    <x:row r="3">
      <x:c r="A3" s="162" t="str">
        <x:v>Response to creator questions about YPP policies</x:v>
      </x:c>
      <x:c r="B3" s="162" t="str">
        <x:v>Official TeamYouTube community post</x:v>
      </x:c>
      <x:c r="C3" s="162" t="str">
        <x:v>2025-07-10</x:v>
      </x:c>
      <x:c r="D3" s="162" t="str">
        <x:v>Clarifies mass-produced/repetitive content; applies regardless of production method</x:v>
      </x:c>
      <x:c r="E3" s="162" t="str">
        <x:v>https://support.google.com/youtube/thread/356734251?hl=en&amp;msgid=357073229</x:v>
      </x:c>
    </x:row>
    <x:row r="4">
      <x:c r="A4" s="162" t="str">
        <x:v>Disclosing use of GenAI content</x:v>
      </x:c>
      <x:c r="B4" s="162" t="str">
        <x:v>Official YouTube Help</x:v>
      </x:c>
      <x:c r="C4" s="162" t="str">
        <x:v>accessed 2026-08-18</x:v>
      </x:c>
      <x:c r="D4" s="162" t="str">
        <x:v>Disclosure required for realistic, meaningful AI alteration/generation</x:v>
      </x:c>
      <x:c r="E4" s="162" t="str">
        <x:v>https://support.google.com/youtube/answer/14328491?hl=en</x:v>
      </x:c>
    </x:row>
    <x:row r="5">
      <x:c r="A5" s="162" t="str">
        <x:v>Advertiser-friendly content guidelines</x:v>
      </x:c>
      <x:c r="B5" s="162" t="str">
        <x:v>Official YouTube Help</x:v>
      </x:c>
      <x:c r="C5" s="162" t="str">
        <x:v>accessed 2026-08-18</x:v>
      </x:c>
      <x:c r="D5" s="162" t="str">
        <x:v>Sensitive events, violence, harmful acts, controversial issues</x:v>
      </x:c>
      <x:c r="E5" s="162" t="str">
        <x:v>https://support.google.com/youtube/answer/6162278?hl=en</x:v>
      </x:c>
    </x:row>
    <x:row r="6">
      <x:c r="A6" s="162" t="str">
        <x:v>Fair use on YouTube</x:v>
      </x:c>
      <x:c r="B6" s="162" t="str">
        <x:v>Official YouTube Help</x:v>
      </x:c>
      <x:c r="C6" s="162" t="str">
        <x:v>accessed 2026-08-18</x:v>
      </x:c>
      <x:c r="D6" s="162" t="str">
        <x:v>Fair use is case-specific and ultimately decided by courts</x:v>
      </x:c>
      <x:c r="E6" s="162" t="str">
        <x:v>https://support.google.com/youtube/answer/9783148?hl=en</x:v>
      </x:c>
    </x:row>
    <x:row r="7">
      <x:c r="A7" s="162" t="str">
        <x:v>Copyright on YouTube</x:v>
      </x:c>
      <x:c r="B7" s="162" t="str">
        <x:v>Official YouTube Help</x:v>
      </x:c>
      <x:c r="C7" s="162" t="str">
        <x:v>accessed 2026-08-18</x:v>
      </x:c>
      <x:c r="D7" s="162" t="str">
        <x:v>Permission, exceptions, public domain, CC and licensed music options</x:v>
      </x:c>
      <x:c r="E7" s="162" t="str">
        <x:v>https://support.google.com/youtube/answer/2797466?hl=en</x:v>
      </x:c>
    </x:row>
    <x:row r="8">
      <x:c r="A8" s="162" t="str">
        <x:v>YPP overview and eligibility</x:v>
      </x:c>
      <x:c r="B8" s="162" t="str">
        <x:v>Official YouTube Help</x:v>
      </x:c>
      <x:c r="C8" s="162" t="str">
        <x:v>accessed 2026-08-18</x:v>
      </x:c>
      <x:c r="D8" s="162" t="str">
        <x:v>Long-form route: 1,000 subscribers + 4,000 valid public watch hours in 12 months</x:v>
      </x:c>
      <x:c r="E8" s="162" t="str">
        <x:v>https://support.google.com/youtube/answer/72851?hl=en</x:v>
      </x:c>
    </x:row>
    <x:row r="9">
      <x:c r="A9" s="162" t="str">
        <x:v>Audience retention key moments</x:v>
      </x:c>
      <x:c r="B9" s="162" t="str">
        <x:v>Official YouTube Help</x:v>
      </x:c>
      <x:c r="C9" s="162" t="str">
        <x:v>accessed 2026-08-18</x:v>
      </x:c>
      <x:c r="D9" s="162" t="str">
        <x:v>Intro, top moments, spikes, dips; compare similar-length videos</x:v>
      </x:c>
      <x:c r="E9" s="162" t="str">
        <x:v>https://support.google.com/youtube/answer/9314415?hl=en</x:v>
      </x:c>
    </x:row>
    <x:row r="10">
      <x:c r="A10" s="162" t="str">
        <x:v>YouTube CEO: big bets for 2025</x:v>
      </x:c>
      <x:c r="B10" s="162" t="str">
        <x:v>Official YouTube Blog</x:v>
      </x:c>
      <x:c r="C10" s="162" t="str">
        <x:v>2025-02-11</x:v>
      </x:c>
      <x:c r="D10" s="162" t="str">
        <x:v>TV became primary YouTube viewing device in US by watch time; 1B+ TV hours/day</x:v>
      </x:c>
      <x:c r="E10" s="162" t="str">
        <x:v>https://blog.youtube/inside-youtube/our-big-bets-for-2025/</x:v>
      </x:c>
    </x:row>
    <x:row r="11">
      <x:c r="A11" s="162" t="str">
        <x:v>Features for creators on TV screens</x:v>
      </x:c>
      <x:c r="B11" s="162" t="str">
        <x:v>Official YouTube Blog</x:v>
      </x:c>
      <x:c r="C11" s="162" t="str">
        <x:v>2025-10-29</x:v>
      </x:c>
      <x:c r="D11" s="162" t="str">
        <x:v>Channels earning six figures from TV screens up over 45% YoY</x:v>
      </x:c>
      <x:c r="E11" s="162" t="str">
        <x:v>https://blog.youtube/news-and-events/new-features-to-help-creators/</x:v>
      </x:c>
    </x:row>
    <x:row r="12">
      <x:c r="A12" s="162" t="str">
        <x:v>Americans and YouTube</x:v>
      </x:c>
      <x:c r="B12" s="162" t="str">
        <x:v>Pew Research Center</x:v>
      </x:c>
      <x:c r="C12" s="162" t="str">
        <x:v>2024 data</x:v>
      </x:c>
      <x:c r="D12" s="162" t="str">
        <x:v>85% of US adults say they ever use YouTube</x:v>
      </x:c>
      <x:c r="E12" s="162" t="str">
        <x:v>https://www.pewresearch.org/short-reads/2019/12/04/10-facts-about-americans-and-YouTube/</x:v>
      </x:c>
    </x:row>
    <x:row r="13">
      <x:c r="A13" s="162" t="str">
        <x:v>Media Nations / YouTube viewing</x:v>
      </x:c>
      <x:c r="B13" s="162" t="str">
        <x:v>Ofcom</x:v>
      </x:c>
      <x:c r="C13" s="162" t="str">
        <x:v>2025</x:v>
      </x:c>
      <x:c r="D13" s="162" t="str">
        <x:v>YouTube viewing on TV sets continues to grow in the UK</x:v>
      </x:c>
      <x:c r="E13" s="162" t="str">
        <x:v>https://www.ofcom.org.uk/media-use-and-attitudes/media-habits-adults/media-nations-2025</x:v>
      </x:c>
    </x:row>
    <x:row r="14">
      <x:c r="A14" s="162" t="str">
        <x:v>Creator Economy Ad Spend &amp; Strategy</x:v>
      </x:c>
      <x:c r="B14" s="162" t="str">
        <x:v>IAB</x:v>
      </x:c>
      <x:c r="C14" s="162" t="str">
        <x:v>2025</x:v>
      </x:c>
      <x:c r="D14" s="162" t="str">
        <x:v>US creator ad spend projected at $37B in 2025; sponsorship market signal, not channel guarantee</x:v>
      </x:c>
      <x:c r="E14" s="162" t="str">
        <x:v>https://www.iab.com/insights/2025-creator-economy-ad-spend-strategy-report/</x:v>
      </x:c>
    </x:row>
    <x:row r="15">
      <x:c r="A15" s="162" t="str">
        <x:v>ColdFusion public statistics</x:v>
      </x:c>
      <x:c r="B15" s="162" t="str">
        <x:v>Social Blade</x:v>
      </x:c>
      <x:c r="C15" s="162" t="str">
        <x:v>2026-07-30</x:v>
      </x:c>
      <x:c r="D15" s="162" t="str">
        <x:v>5.23M subscribers; 569.3M views; 580 videos—dynamic third-party count</x:v>
      </x:c>
      <x:c r="E15" s="162" t="str">
        <x:v>https://socialblade.com/youtube/handle/coldfusion</x:v>
      </x:c>
    </x:row>
    <x:row r="16">
      <x:c r="A16" s="162" t="str">
        <x:v>The B1M public statistics</x:v>
      </x:c>
      <x:c r="B16" s="162" t="str">
        <x:v>SocialCounts</x:v>
      </x:c>
      <x:c r="C16" s="162" t="str">
        <x:v>2026-07-28</x:v>
      </x:c>
      <x:c r="D16" s="162" t="str">
        <x:v>4.04M subscribers; 918M views; 903 videos—dynamic third-party count</x:v>
      </x:c>
      <x:c r="E16" s="162" t="str">
        <x:v>https://socialcounts.org/youtube-channel-analytics/UC6n8I1UDTKP1IWjQMg6_TwA</x:v>
      </x:c>
    </x:row>
    <x:row r="17">
      <x:c r="A17" s="162" t="str">
        <x:v>Wendover Productions public statistics</x:v>
      </x:c>
      <x:c r="B17" s="162" t="str">
        <x:v>SocialCounts</x:v>
      </x:c>
      <x:c r="C17" s="162" t="str">
        <x:v>2026-07-28</x:v>
      </x:c>
      <x:c r="D17" s="162" t="str">
        <x:v>4.91M subscribers; 827M views; 284 videos—dynamic third-party count</x:v>
      </x:c>
      <x:c r="E17" s="162" t="str">
        <x:v>https://socialcounts.org/youtube-channel-analytics/UC9RM-iSvTu1uPJb8X5yp3EQ</x:v>
      </x:c>
    </x:row>
    <x:row r="18">
      <x:c r="A18" s="162" t="str">
        <x:v>Real Engineering public statistics</x:v>
      </x:c>
      <x:c r="B18" s="162" t="str">
        <x:v>Social Blade</x:v>
      </x:c>
      <x:c r="C18" s="162" t="str">
        <x:v>2026-07-30</x:v>
      </x:c>
      <x:c r="D18" s="162" t="str">
        <x:v>5.09M subscribers; 714.4M views; 291 videos—dynamic third-party count</x:v>
      </x:c>
      <x:c r="E18" s="162" t="str">
        <x:v>https://socialblade.com/youtube/handle/realengineering</x:v>
      </x:c>
    </x:row>
    <x:row r="19">
      <x:c r="A19" s="162" t="str">
        <x:v>Astrum public statistics</x:v>
      </x:c>
      <x:c r="B19" s="162" t="str">
        <x:v>Social Blade</x:v>
      </x:c>
      <x:c r="C19" s="162" t="str">
        <x:v>2026-07-30</x:v>
      </x:c>
      <x:c r="D19" s="162" t="str">
        <x:v>2.85M subscribers; 592.7M views; 479 videos—dynamic third-party count</x:v>
      </x:c>
      <x:c r="E19" s="162" t="str">
        <x:v>https://socialblade.com/youtube/handle/astrumspace</x:v>
      </x:c>
    </x:row>
    <x:row r="20">
      <x:c r="A20" s="162" t="str">
        <x:v>AI Explained public statistics</x:v>
      </x:c>
      <x:c r="B20" s="162" t="str">
        <x:v>SocialCounts</x:v>
      </x:c>
      <x:c r="C20" s="162" t="str">
        <x:v>2026-08 approx.</x:v>
      </x:c>
      <x:c r="D20" s="162" t="str">
        <x:v>439K subscribers; 20.8M views; 155 videos—dynamic third-party count</x:v>
      </x:c>
      <x:c r="E20" s="162" t="str">
        <x:v>https://socialcounts.org/youtube-channel-analytics/UCNJ1Ymd5yFuUPtn21xtRbbw</x:v>
      </x:c>
    </x:row>
    <x:row r="21">
      <x:c r="A21" s="162" t="str">
        <x:v>ELI5: power grids</x:v>
      </x:c>
      <x:c r="B21" s="162" t="str">
        <x:v>Reddit community question</x:v>
      </x:c>
      <x:c r="C21" s="162" t="str">
        <x:v>2021</x:v>
      </x:c>
      <x:c r="D21" s="162" t="str">
        <x:v>Qualitative signal: persistent confusion around grid balancing; not market sizing</x:v>
      </x:c>
      <x:c r="E21" s="162" t="str">
        <x:v>https://www.reddit.com/r/explainlikeimfive/comments/qwqdp1</x:v>
      </x:c>
    </x:row>
    <x:row r="22">
      <x:c r="A22" s="165" t="str">
        <x:v>ELI5: public utilities</x:v>
      </x:c>
      <x:c r="B22" s="165" t="str">
        <x:v>Reddit community question</x:v>
      </x:c>
      <x:c r="C22" s="165" t="str">
        <x:v>2023</x:v>
      </x:c>
      <x:c r="D22" s="165" t="str">
        <x:v>Qualitative signal: demand for basic infrastructure explanations; not market sizing</x:v>
      </x:c>
      <x:c r="E22" s="165" t="str">
        <x:v>https://www.reddit.com/r/explainlikeimfive/comments/12x7afb</x:v>
      </x:c>
    </x:row>
  </x:sheetData>
  <x:pageMargins left="0.7" right="0.7" top="0.75" bottom="0.75" header="0.3" footer="0.3"/>
  <x:tableParts count="1">
    <x:tablePart xmlns:r="http://schemas.openxmlformats.org/officeDocument/2006/relationships" r:id="R4430353df68a4da8"/>
  </x:tableParts>
</x:worksheet>
</file>